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95475" yWindow="135" windowWidth="22425" windowHeight="12285" activeTab="1"/>
  </bookViews>
  <sheets>
    <sheet name="自动拒绝（城信）" sheetId="3" r:id="rId1"/>
    <sheet name="互联网-宜人" sheetId="7" r:id="rId2"/>
    <sheet name="互联网-瞬时贷" sheetId="10" r:id="rId3"/>
    <sheet name="企合" sheetId="9" r:id="rId4"/>
    <sheet name="门店R" sheetId="1" r:id="rId5"/>
    <sheet name="日期" sheetId="5" r:id="rId6"/>
  </sheets>
  <definedNames>
    <definedName name="_xlnm._FilterDatabase" localSheetId="5" hidden="1">日期!$B$2:$D$37</definedName>
  </definedNames>
  <calcPr calcId="152511"/>
</workbook>
</file>

<file path=xl/calcChain.xml><?xml version="1.0" encoding="utf-8"?>
<calcChain xmlns="http://schemas.openxmlformats.org/spreadsheetml/2006/main">
  <c r="D2" i="5" l="1"/>
  <c r="C2" i="5"/>
  <c r="H31" i="10" l="1"/>
  <c r="H34" i="9"/>
  <c r="H32" i="10"/>
  <c r="H32" i="7"/>
  <c r="H33" i="9"/>
  <c r="H33" i="7"/>
  <c r="C1" i="1"/>
  <c r="H25" i="1" s="1"/>
  <c r="B1" i="1"/>
  <c r="H45" i="1" s="1"/>
  <c r="H44" i="1" s="1"/>
  <c r="B1" i="3"/>
  <c r="H31" i="3" s="1"/>
  <c r="C1" i="3"/>
  <c r="H32" i="3" s="1"/>
  <c r="H17" i="1" l="1"/>
  <c r="H16" i="1"/>
  <c r="H24" i="1"/>
</calcChain>
</file>

<file path=xl/sharedStrings.xml><?xml version="1.0" encoding="utf-8"?>
<sst xmlns="http://schemas.openxmlformats.org/spreadsheetml/2006/main" count="270" uniqueCount="177">
  <si>
    <t xml:space="preserve">select  distinct          </t>
  </si>
  <si>
    <t xml:space="preserve">                  jd.transport_id  , b.LOAN_TYPE,</t>
  </si>
  <si>
    <t xml:space="preserve">                  substr(b.APPLY_SUBMIT_TIME,1,10)  进件时间,</t>
  </si>
  <si>
    <t xml:space="preserve">                  m.MORTGAGOR_NAME 客户姓名,</t>
  </si>
  <si>
    <t xml:space="preserve">                  city.CITY_NAME 城市,</t>
  </si>
  <si>
    <t xml:space="preserve">                  e.dept_name 申请部门,   </t>
  </si>
  <si>
    <t xml:space="preserve">                  c.REMARK  产品,   </t>
  </si>
  <si>
    <t xml:space="preserve">                  pf.PROCESS_STATUS_NAME,            </t>
  </si>
  <si>
    <t xml:space="preserve">                  re.refuse_code,</t>
  </si>
  <si>
    <t xml:space="preserve">from  </t>
  </si>
  <si>
    <t xml:space="preserve">     (select  max(fl.FLOW_LOG_ID) flow_log_id, fl.TRANSPORT_ID    </t>
  </si>
  <si>
    <t xml:space="preserve">        from  clic_sele_v.v_xg_tc_flow_log fl</t>
  </si>
  <si>
    <t xml:space="preserve">     group by fl.TRANSPORT_ID) jd</t>
  </si>
  <si>
    <t>left join  clic_sele_v.v_xg_tc_flow_log               f      on     f.FLOW_LOG_ID      =jd.flow_log_id</t>
  </si>
  <si>
    <t xml:space="preserve">left join      </t>
  </si>
  <si>
    <t xml:space="preserve">          (select  da.transport_id, max(da.DECESION_ID) decesion_id </t>
  </si>
  <si>
    <t xml:space="preserve">             from clic_sele_v.v_xg_tc_busi_decision_refuse da</t>
  </si>
  <si>
    <t xml:space="preserve">         group by da.TRANSPORT_ID) refuse   </t>
  </si>
  <si>
    <t xml:space="preserve">        on    refuse.transport_id=jd.transport_id  </t>
  </si>
  <si>
    <t>left join clic_sele_v.v_xg_tc_busi_decision_refuse   re      on     re.DECESION_ID=refuse.decesion_id</t>
  </si>
  <si>
    <t xml:space="preserve">left join clic_sele_v.v_xg_tc_mortgagor               m      on     m.transport_id     =jd.transport_id  </t>
  </si>
  <si>
    <t xml:space="preserve">left join clic_sele_v.v_xg_tc_bs_transport            b      on     jd.transport_id    =b.transport_id </t>
  </si>
  <si>
    <t>left join clic_sele_v.v_xg_TC_BS_DEPARTMENT           e      on     b.submit_dept_no   =e.dept_id</t>
  </si>
  <si>
    <t>left join clic_sele_v.v_xg_TC_city                 city      on     city.CITY_code     =e.CITY_ID</t>
  </si>
  <si>
    <t xml:space="preserve"> </t>
  </si>
  <si>
    <t xml:space="preserve">left join clic_sele_v.v_xg_s_data_dic                 c      on     c.system_id        =b.product_type   and  c.system_type = 'COMMON_PRODUCT_TYPE'                 </t>
  </si>
  <si>
    <t xml:space="preserve">             </t>
  </si>
  <si>
    <t xml:space="preserve">left join clic_sele_v.v_xg_tc_process_status_define pf       on     pf.process_status_code = f.process_node                </t>
  </si>
  <si>
    <t>left join clic_sele_v.v_xg_s_data_dic                f1       on     f1.SYSTEM_ID=re.refuse_code    and f1.SYSTEM_TYPE  like 'COMMON_REFUSE_CODE_CATEGRY%'</t>
  </si>
  <si>
    <t xml:space="preserve">left join </t>
  </si>
  <si>
    <t>(select  distinct fl.TRANSPORT_ID,'复议' as 复议否</t>
  </si>
  <si>
    <t xml:space="preserve">          and fl.PROCESS_NODE in ('5-0','5-1','6-0','6-1')</t>
  </si>
  <si>
    <t xml:space="preserve">     ) fuyi</t>
  </si>
  <si>
    <t xml:space="preserve">     on fuyi.transport_id=jd.transport_id</t>
  </si>
  <si>
    <t xml:space="preserve">       </t>
  </si>
  <si>
    <t>where   (substr(e.dept_name,1,2) in （'个贷','销创','创新','锦江'）</t>
  </si>
  <si>
    <t xml:space="preserve">     </t>
  </si>
  <si>
    <t xml:space="preserve">          and re.REFUSE_group_CODE in ('R08','R09','R11')           </t>
  </si>
  <si>
    <t xml:space="preserve">           ) or</t>
  </si>
  <si>
    <t xml:space="preserve">        (substr(e.dept_name,1,2) in （'个贷','销创','创新','锦江'）</t>
  </si>
  <si>
    <t xml:space="preserve">         and f.PROCESS_node in ('19-3','19-5')    </t>
  </si>
  <si>
    <t xml:space="preserve">         and fuyi.复议否 is null                                                </t>
  </si>
  <si>
    <t xml:space="preserve">           )</t>
  </si>
  <si>
    <t xml:space="preserve">                                                                     </t>
  </si>
  <si>
    <t xml:space="preserve">select </t>
  </si>
  <si>
    <t>sum(d.FICO拒贷) FICO拒贷,</t>
  </si>
  <si>
    <t xml:space="preserve">sum(d.黑名单拒贷)  黑名单拒贷, </t>
  </si>
  <si>
    <t xml:space="preserve">sum(d.进件不符拒贷 ) 进件不符拒贷, </t>
  </si>
  <si>
    <t>sum(d.人行拒贷) 人行拒贷,</t>
  </si>
  <si>
    <t>sum(d.FICO拒贷)+sum(d.黑名单拒贷)+sum(d.进件不符拒贷 )+sum(d.人行拒贷) 系统自动拒绝量,</t>
  </si>
  <si>
    <t xml:space="preserve">count(d.进件编号) 进件量   </t>
  </si>
  <si>
    <t>from</t>
  </si>
  <si>
    <t xml:space="preserve">（select  distinct          </t>
  </si>
  <si>
    <t xml:space="preserve">a.transport_id  进件编号,  </t>
  </si>
  <si>
    <t xml:space="preserve">case when a.PROCESS_node='19-4' then '1' else '0' end FICO拒贷 ,   </t>
  </si>
  <si>
    <t>case when a.PROCESS_node='19-5' then '1' else '0' end 人行拒贷,</t>
  </si>
  <si>
    <t xml:space="preserve">case when a.PROCESS_node='19-3' then '1' else '0' end 进件不符拒贷 ,  </t>
  </si>
  <si>
    <t xml:space="preserve">case when a.PROCESS_node='12-2' then '1' else '0' end 黑名单拒贷, </t>
  </si>
  <si>
    <t>substr(a.apply_submit_time,1,10) time</t>
  </si>
  <si>
    <t xml:space="preserve">  </t>
  </si>
  <si>
    <t xml:space="preserve">from  CLIC_SELE_V.V_XG_TC_BS_TRANSPORT a          </t>
  </si>
  <si>
    <t xml:space="preserve"> left join clic_sele_v.v_xg_s_data_dic c  </t>
  </si>
  <si>
    <t xml:space="preserve">   on c.system_id = a.product_type   and c.system_type = 'COMMON_PRODUCT_TYPE'                 </t>
  </si>
  <si>
    <t xml:space="preserve">              </t>
  </si>
  <si>
    <t xml:space="preserve"> left join clic_sele_v.v_xg_tc_process_status_define pf                </t>
  </si>
  <si>
    <t xml:space="preserve">    on pf.process_status_code = a.process_node                </t>
  </si>
  <si>
    <t xml:space="preserve">                </t>
  </si>
  <si>
    <t xml:space="preserve">） d              </t>
  </si>
  <si>
    <t xml:space="preserve">        where to_date(fl.create_date,'yyyy-mm-dd hh24:mi:ss')  &gt; =  to_date('</t>
    <phoneticPr fontId="3" type="noConversion"/>
  </si>
  <si>
    <t xml:space="preserve"> 00:00:01','  yyyy-mm-dd hh24:mi:ss')</t>
  </si>
  <si>
    <t xml:space="preserve">          and to_date(fl.create_date,'yyyy-mm-dd hh24:mi:ss')  &lt; =  to_date('</t>
    <phoneticPr fontId="3" type="noConversion"/>
  </si>
  <si>
    <t>00:00:00','  yyyy-mm-dd hh24:mi:ss')</t>
  </si>
  <si>
    <t xml:space="preserve">     where to_date(da.CREATE_DATE,'yyyy-mm-dd hh24:mi:ss')  &gt; =  to_date('</t>
    <phoneticPr fontId="3" type="noConversion"/>
  </si>
  <si>
    <t>00:00:01','  yyyy-mm-dd hh24:mi:ss')</t>
  </si>
  <si>
    <t xml:space="preserve">     and to_date(da.CREATE_DATE,'yyyy-mm-dd hh24:mi:ss')  &lt; =  to_date('</t>
    <phoneticPr fontId="3" type="noConversion"/>
  </si>
  <si>
    <t xml:space="preserve">where  to_date(a.apply_submit_time,'yyyy-mm-dd hh24:mi:ss')  &gt; =  to_date('  </t>
    <phoneticPr fontId="3" type="noConversion"/>
  </si>
  <si>
    <t xml:space="preserve"> 00:00:01','  yyyy-mm-dd hh24:mi:ss') </t>
  </si>
  <si>
    <t xml:space="preserve">and    to_date(a.apply_submit_time,'yyyy-mm-dd hh24:mi:ss')  &lt; =  to_date('  </t>
    <phoneticPr fontId="3" type="noConversion"/>
  </si>
  <si>
    <t xml:space="preserve">00:00:00','  yyyy-mm-dd hh24:mi:ss')              </t>
    <phoneticPr fontId="3" type="noConversion"/>
  </si>
  <si>
    <t>前一个工作日</t>
    <phoneticPr fontId="3" type="noConversion"/>
  </si>
  <si>
    <t>今天</t>
    <phoneticPr fontId="3" type="noConversion"/>
  </si>
  <si>
    <t xml:space="preserve">         and   re.REFUSE_group_CODE is null                         ---人行、进件不符拒贷  无码 无复议</t>
    <phoneticPr fontId="3" type="noConversion"/>
  </si>
  <si>
    <t>00:00:00','  yyyy-mm-dd hh24:mi:ss')        ---前一个工作日无复议</t>
    <phoneticPr fontId="3" type="noConversion"/>
  </si>
  <si>
    <t>order by   e.dept_name, nvl(substr(f1.REMARK,7),pf.PROCESS_STATUS_NAME</t>
    <phoneticPr fontId="3" type="noConversion"/>
  </si>
  <si>
    <t>)</t>
  </si>
  <si>
    <t xml:space="preserve">          and f.PROCESS_node  in ('19-4','12-10','12-9','12-4','12-8','12-5','19-3','19-5')</t>
    <phoneticPr fontId="3" type="noConversion"/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</si>
  <si>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</si>
  <si>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</si>
  <si>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</si>
  <si>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</si>
  <si>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</si>
  <si>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</si>
  <si>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</si>
  <si>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</si>
  <si>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</si>
  <si>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</si>
  <si>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2016-01-18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</si>
  <si>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</si>
  <si>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</si>
  <si>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</si>
  <si>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</si>
  <si>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</si>
  <si>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</si>
  <si>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</si>
  <si>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</si>
  <si>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</si>
  <si>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</si>
  <si>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</si>
  <si>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</si>
  <si>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</si>
  <si>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</si>
  <si>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</si>
  <si>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</si>
  <si>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</si>
  <si>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</si>
  <si>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</si>
  <si>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</si>
  <si>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</si>
  <si>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</si>
  <si>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</si>
  <si>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</si>
  <si>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</si>
  <si>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</si>
  <si>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</si>
  <si>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 xml:space="preserve">                  nvl(substr(f1.REMARK,7),pf.PROCESS_STATUS_NAME)  拒绝原因</t>
    <phoneticPr fontId="3" type="noConversion"/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</si>
  <si>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</si>
  <si>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</si>
  <si>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</si>
  <si>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</si>
  <si>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</si>
  <si>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</si>
  <si>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</si>
  <si>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</si>
  <si>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</si>
  <si>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</si>
  <si>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</si>
  <si>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</si>
  <si>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</si>
  <si>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</si>
  <si>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2016-03-25</t>
  </si>
  <si>
    <t>2016-03-28</t>
  </si>
  <si>
    <t>2016-03-29</t>
  </si>
  <si>
    <t>2016-03-30</t>
  </si>
  <si>
    <t>2016-03-31</t>
  </si>
  <si>
    <t>2016-04-01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</si>
  <si>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</si>
  <si>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</si>
  <si>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</si>
  <si>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</si>
  <si>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</si>
  <si>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</si>
  <si>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</si>
  <si>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</si>
  <si>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</si>
  <si>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</si>
  <si>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</si>
  <si>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</si>
  <si>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</si>
  <si>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</si>
  <si>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只取工作日</t>
    <phoneticPr fontId="3" type="noConversion"/>
  </si>
  <si>
    <t>2016-04-25</t>
  </si>
  <si>
    <t>2016-04-26</t>
  </si>
  <si>
    <t>2016-04-27</t>
  </si>
  <si>
    <t>2016-04-28</t>
  </si>
  <si>
    <t>2016-04-29</t>
  </si>
  <si>
    <t xml:space="preserve">and substr(c.remark,0,3) in （'新薪贷','精英贷','新薪宜','助业贷','线下金','线下信','新薪（','助业宜'）              </t>
    <phoneticPr fontId="3" type="noConversion"/>
  </si>
  <si>
    <t xml:space="preserve">case when a.PROCESS_node='12-2' then '1' else '0' end 黑名单拒贷, </t>
    <phoneticPr fontId="3" type="noConversion"/>
  </si>
  <si>
    <t xml:space="preserve">case when a.PROCESS_node='19-7' then '1' else '0' end 执行信息拒绝, </t>
  </si>
  <si>
    <t xml:space="preserve">case when a.PROCESS_node='19-7' then '1' else '0' end 执行信息拒绝, </t>
    <phoneticPr fontId="3" type="noConversion"/>
  </si>
  <si>
    <t xml:space="preserve">case when a.PROCESS_node='19-6' then '1' else '0' end 历史归户拒绝, </t>
  </si>
  <si>
    <t xml:space="preserve">case when a.PROCESS_node='19-6' then '1' else '0' end 历史归户拒绝, </t>
    <phoneticPr fontId="3" type="noConversion"/>
  </si>
  <si>
    <t xml:space="preserve">where  to_date(a.apply_submit_time,'yyyy-mm-dd hh24:mi:ss')  &gt; =  to_date('  </t>
  </si>
  <si>
    <t xml:space="preserve">and    to_date(a.apply_submit_time,'yyyy-mm-dd hh24:mi:ss')  &lt; =  to_date('  </t>
  </si>
  <si>
    <t xml:space="preserve">00:00:00','  yyyy-mm-dd hh24:mi:ss')              </t>
  </si>
  <si>
    <t xml:space="preserve">and substr(c.remark,0,3) in （'新薪贷','精英贷','新薪宜','助业贷','线下金','线下信','新薪（','助业宜'）              </t>
  </si>
  <si>
    <t xml:space="preserve">and substr(c.remark,0,3) in （'线上精','线上码','新线上'）              </t>
    <phoneticPr fontId="3" type="noConversion"/>
  </si>
  <si>
    <t xml:space="preserve">and substr(c.remark,0,3) in （'线上瞬','瞬时贷','公积金'）              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</si>
</sst>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[$-804]aaaa;@"/>
    <numFmt numFmtId="177" formatCode="_(&quot;$&quot;* #,##0.00_);_(&quot;$&quot;* \(#,##0.00\);_(&quot;$&quot;* &quot;-&quot;??_);_(@_)"/>
    <numFmt numFmtId="178" formatCode="_(&quot;$&quot;* #,##0_);_(&quot;$&quot;* \(#,##0\);_(&quot;$&quot;* &quot;-&quot;_);_(@_)"/>
    <numFmt numFmtId="179" formatCode="_(* #,##0.00_);_(* \(#,##0.00\);_(* &quot;-&quot;??_);_(@_)"/>
    <numFmt numFmtId="180" formatCode="_(* #,##0_);_(* \(#,##0\);_(* &quot;-&quot;_);_(@_)"/>
    <numFmt numFmtId="181" formatCode="yyyy\-mm\-dd"/>
    <numFmt numFmtId="182" formatCode="[$-F800]dddd\,\ mmmm\ dd\,\ yyyy"/>
  </numFmts>
  <fonts count="32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0"/>
      <name val="Tahoma"/>
      <family val="2"/>
    </font>
    <font>
      <b/>
      <sz val="9"/>
      <color indexed="8"/>
      <name val="Tahoma"/>
      <family val="2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sz val="11"/>
      <color rgb="FF9C0006"/>
      <name val="宋体"/>
      <family val="3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12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b/>
      <sz val="9"/>
      <color theme="1"/>
      <name val="微软雅黑"/>
      <family val="2"/>
      <charset val="134"/>
    </font>
    <font>
      <b/>
      <sz val="9"/>
      <color theme="9" tint="-0.249977111117893"/>
      <name val="微软雅黑"/>
      <family val="2"/>
      <charset val="134"/>
    </font>
    <font>
      <b/>
      <sz val="9"/>
      <color theme="1" tint="0.499984740745262"/>
      <name val="微软雅黑"/>
      <family val="2"/>
      <charset val="134"/>
    </font>
    <font>
      <b/>
      <sz val="9"/>
      <color rgb="FFFF0000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30">
    <xf numFmtId="0" fontId="0" fillId="0" borderId="0"/>
    <xf numFmtId="176" fontId="5" fillId="10" borderId="0" applyNumberFormat="0" applyBorder="0" applyAlignment="0" applyProtection="0"/>
    <xf numFmtId="176" fontId="5" fillId="14" borderId="0" applyNumberFormat="0" applyBorder="0" applyAlignment="0" applyProtection="0"/>
    <xf numFmtId="176" fontId="5" fillId="18" borderId="0" applyNumberFormat="0" applyBorder="0" applyAlignment="0" applyProtection="0"/>
    <xf numFmtId="176" fontId="5" fillId="22" borderId="0" applyNumberFormat="0" applyBorder="0" applyAlignment="0" applyProtection="0"/>
    <xf numFmtId="176" fontId="5" fillId="26" borderId="0" applyNumberFormat="0" applyBorder="0" applyAlignment="0" applyProtection="0"/>
    <xf numFmtId="176" fontId="5" fillId="30" borderId="0" applyNumberFormat="0" applyBorder="0" applyAlignment="0" applyProtection="0"/>
    <xf numFmtId="176" fontId="5" fillId="11" borderId="0" applyNumberFormat="0" applyBorder="0" applyAlignment="0" applyProtection="0"/>
    <xf numFmtId="176" fontId="5" fillId="15" borderId="0" applyNumberFormat="0" applyBorder="0" applyAlignment="0" applyProtection="0"/>
    <xf numFmtId="176" fontId="5" fillId="19" borderId="0" applyNumberFormat="0" applyBorder="0" applyAlignment="0" applyProtection="0"/>
    <xf numFmtId="176" fontId="5" fillId="23" borderId="0" applyNumberFormat="0" applyBorder="0" applyAlignment="0" applyProtection="0"/>
    <xf numFmtId="176" fontId="5" fillId="27" borderId="0" applyNumberFormat="0" applyBorder="0" applyAlignment="0" applyProtection="0"/>
    <xf numFmtId="176" fontId="5" fillId="31" borderId="0" applyNumberFormat="0" applyBorder="0" applyAlignment="0" applyProtection="0"/>
    <xf numFmtId="176" fontId="6" fillId="12" borderId="0" applyNumberFormat="0" applyBorder="0" applyAlignment="0" applyProtection="0"/>
    <xf numFmtId="176" fontId="6" fillId="16" borderId="0" applyNumberFormat="0" applyBorder="0" applyAlignment="0" applyProtection="0"/>
    <xf numFmtId="176" fontId="6" fillId="20" borderId="0" applyNumberFormat="0" applyBorder="0" applyAlignment="0" applyProtection="0"/>
    <xf numFmtId="176" fontId="6" fillId="24" borderId="0" applyNumberFormat="0" applyBorder="0" applyAlignment="0" applyProtection="0"/>
    <xf numFmtId="176" fontId="6" fillId="28" borderId="0" applyNumberFormat="0" applyBorder="0" applyAlignment="0" applyProtection="0"/>
    <xf numFmtId="176" fontId="6" fillId="32" borderId="0" applyNumberFormat="0" applyBorder="0" applyAlignment="0" applyProtection="0"/>
    <xf numFmtId="176" fontId="7" fillId="0" borderId="0"/>
    <xf numFmtId="176" fontId="8" fillId="33" borderId="10">
      <alignment vertical="center"/>
    </xf>
    <xf numFmtId="9" fontId="1" fillId="0" borderId="0" applyFont="0" applyFill="0" applyBorder="0" applyAlignment="0" applyProtection="0">
      <alignment vertical="center"/>
    </xf>
    <xf numFmtId="176" fontId="9" fillId="0" borderId="1" applyNumberFormat="0" applyFill="0" applyAlignment="0" applyProtection="0"/>
    <xf numFmtId="176" fontId="10" fillId="0" borderId="2" applyNumberFormat="0" applyFill="0" applyAlignment="0" applyProtection="0"/>
    <xf numFmtId="176" fontId="11" fillId="0" borderId="3" applyNumberFormat="0" applyFill="0" applyAlignment="0" applyProtection="0"/>
    <xf numFmtId="176" fontId="11" fillId="0" borderId="0" applyNumberFormat="0" applyFill="0" applyBorder="0" applyAlignment="0" applyProtection="0"/>
    <xf numFmtId="176" fontId="12" fillId="0" borderId="0" applyNumberFormat="0" applyFill="0" applyBorder="0" applyAlignment="0" applyProtection="0"/>
    <xf numFmtId="176" fontId="13" fillId="3" borderId="0" applyNumberFormat="0" applyBorder="0" applyAlignment="0" applyProtection="0"/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176" fontId="13" fillId="3" borderId="0" applyNumberFormat="0" applyBorder="0" applyAlignment="0" applyProtection="0">
      <alignment vertical="center"/>
    </xf>
    <xf numFmtId="0" fontId="14" fillId="0" borderId="0"/>
    <xf numFmtId="176" fontId="15" fillId="0" borderId="0">
      <alignment vertical="center"/>
    </xf>
    <xf numFmtId="176" fontId="16" fillId="0" borderId="0"/>
    <xf numFmtId="176" fontId="5" fillId="0" borderId="0"/>
    <xf numFmtId="176" fontId="5" fillId="0" borderId="0">
      <alignment vertical="center"/>
    </xf>
    <xf numFmtId="0" fontId="17" fillId="0" borderId="0"/>
    <xf numFmtId="176" fontId="5" fillId="0" borderId="0"/>
    <xf numFmtId="176" fontId="15" fillId="0" borderId="0">
      <alignment vertical="center"/>
    </xf>
    <xf numFmtId="176" fontId="16" fillId="0" borderId="0"/>
    <xf numFmtId="176" fontId="15" fillId="0" borderId="0">
      <alignment vertical="center"/>
    </xf>
    <xf numFmtId="176" fontId="5" fillId="0" borderId="0">
      <alignment vertical="center"/>
    </xf>
    <xf numFmtId="0" fontId="17" fillId="0" borderId="0"/>
    <xf numFmtId="176" fontId="5" fillId="0" borderId="0">
      <alignment vertical="center"/>
    </xf>
    <xf numFmtId="176" fontId="16" fillId="0" borderId="0"/>
    <xf numFmtId="176" fontId="15" fillId="0" borderId="0">
      <alignment vertical="center"/>
    </xf>
    <xf numFmtId="176" fontId="1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6" fontId="18" fillId="2" borderId="0" applyNumberFormat="0" applyBorder="0" applyAlignment="0" applyProtection="0"/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8" fillId="2" borderId="0" applyNumberFormat="0" applyBorder="0" applyAlignment="0" applyProtection="0">
      <alignment vertical="center"/>
    </xf>
    <xf numFmtId="176" fontId="19" fillId="0" borderId="9" applyNumberFormat="0" applyFill="0" applyAlignment="0" applyProtection="0"/>
    <xf numFmtId="177" fontId="16" fillId="0" borderId="0" applyFont="0" applyFill="0" applyBorder="0" applyAlignment="0" applyProtection="0"/>
    <xf numFmtId="178" fontId="16" fillId="0" borderId="0" applyFont="0" applyFill="0" applyBorder="0" applyAlignment="0" applyProtection="0"/>
    <xf numFmtId="176" fontId="20" fillId="6" borderId="4" applyNumberFormat="0" applyAlignment="0" applyProtection="0"/>
    <xf numFmtId="176" fontId="21" fillId="7" borderId="7" applyNumberFormat="0" applyAlignment="0" applyProtection="0"/>
    <xf numFmtId="176" fontId="22" fillId="0" borderId="0" applyNumberFormat="0" applyFill="0" applyBorder="0" applyAlignment="0" applyProtection="0"/>
    <xf numFmtId="176" fontId="23" fillId="0" borderId="0" applyNumberFormat="0" applyFill="0" applyBorder="0" applyAlignment="0" applyProtection="0"/>
    <xf numFmtId="176" fontId="24" fillId="0" borderId="6" applyNumberFormat="0" applyFill="0" applyAlignment="0" applyProtection="0"/>
    <xf numFmtId="179" fontId="16" fillId="0" borderId="0" applyFont="0" applyFill="0" applyBorder="0" applyAlignment="0" applyProtection="0"/>
    <xf numFmtId="180" fontId="16" fillId="0" borderId="0" applyFont="0" applyFill="0" applyBorder="0" applyAlignment="0" applyProtection="0"/>
    <xf numFmtId="176" fontId="6" fillId="9" borderId="0" applyNumberFormat="0" applyBorder="0" applyAlignment="0" applyProtection="0"/>
    <xf numFmtId="176" fontId="6" fillId="13" borderId="0" applyNumberFormat="0" applyBorder="0" applyAlignment="0" applyProtection="0"/>
    <xf numFmtId="176" fontId="6" fillId="17" borderId="0" applyNumberFormat="0" applyBorder="0" applyAlignment="0" applyProtection="0"/>
    <xf numFmtId="176" fontId="6" fillId="21" borderId="0" applyNumberFormat="0" applyBorder="0" applyAlignment="0" applyProtection="0"/>
    <xf numFmtId="176" fontId="6" fillId="25" borderId="0" applyNumberFormat="0" applyBorder="0" applyAlignment="0" applyProtection="0"/>
    <xf numFmtId="176" fontId="6" fillId="29" borderId="0" applyNumberFormat="0" applyBorder="0" applyAlignment="0" applyProtection="0"/>
    <xf numFmtId="176" fontId="25" fillId="4" borderId="0" applyNumberFormat="0" applyBorder="0" applyAlignment="0" applyProtection="0"/>
    <xf numFmtId="176" fontId="26" fillId="6" borderId="5" applyNumberFormat="0" applyAlignment="0" applyProtection="0"/>
    <xf numFmtId="176" fontId="27" fillId="5" borderId="4" applyNumberFormat="0" applyAlignment="0" applyProtection="0"/>
    <xf numFmtId="0" fontId="1" fillId="8" borderId="8" applyNumberFormat="0" applyFont="0" applyAlignment="0" applyProtection="0">
      <alignment vertical="center"/>
    </xf>
    <xf numFmtId="176" fontId="2" fillId="0" borderId="0"/>
  </cellStyleXfs>
  <cellXfs count="16">
    <xf numFmtId="0" fontId="0" fillId="0" borderId="0" xfId="0"/>
    <xf numFmtId="0" fontId="4" fillId="0" borderId="0" xfId="0" applyFont="1"/>
    <xf numFmtId="14" fontId="4" fillId="0" borderId="0" xfId="0" applyNumberFormat="1" applyFont="1"/>
    <xf numFmtId="181" fontId="28" fillId="0" borderId="0" xfId="0" applyNumberFormat="1" applyFont="1"/>
    <xf numFmtId="0" fontId="28" fillId="0" borderId="0" xfId="0" applyFont="1"/>
    <xf numFmtId="181" fontId="29" fillId="0" borderId="0" xfId="0" applyNumberFormat="1" applyFont="1"/>
    <xf numFmtId="182" fontId="28" fillId="0" borderId="0" xfId="0" applyNumberFormat="1" applyFont="1"/>
    <xf numFmtId="181" fontId="30" fillId="0" borderId="0" xfId="0" applyNumberFormat="1" applyFont="1" applyAlignment="1">
      <alignment horizontal="right"/>
    </xf>
    <xf numFmtId="0" fontId="30" fillId="0" borderId="0" xfId="0" applyFont="1" applyAlignment="1">
      <alignment horizontal="right"/>
    </xf>
    <xf numFmtId="181" fontId="29" fillId="0" borderId="0" xfId="129" applyNumberFormat="1" applyFont="1" applyFill="1"/>
    <xf numFmtId="181" fontId="28" fillId="0" borderId="0" xfId="0" applyNumberFormat="1" applyFont="1" applyAlignment="1">
      <alignment horizontal="right"/>
    </xf>
    <xf numFmtId="0" fontId="28" fillId="0" borderId="0" xfId="0" applyNumberFormat="1" applyFont="1" applyAlignment="1">
      <alignment horizontal="right"/>
    </xf>
    <xf numFmtId="0" fontId="28" fillId="0" borderId="0" xfId="0" applyFont="1" applyAlignment="1">
      <alignment horizontal="right"/>
    </xf>
    <xf numFmtId="14" fontId="28" fillId="0" borderId="0" xfId="0" applyNumberFormat="1" applyFont="1" applyAlignment="1">
      <alignment horizontal="right"/>
    </xf>
    <xf numFmtId="0" fontId="31" fillId="0" borderId="0" xfId="0" applyFont="1"/>
    <xf numFmtId="14" fontId="28" fillId="0" borderId="0" xfId="0" applyNumberFormat="1" applyFont="1"/>
  </cellXfs>
  <cellStyles count="130">
    <cellStyle name="20% - 强调文字颜色 1 2" xfId="1"/>
    <cellStyle name="20% - 强调文字颜色 2 2" xfId="2"/>
    <cellStyle name="20% - 强调文字颜色 3 2" xfId="3"/>
    <cellStyle name="20% - 强调文字颜色 4 2" xfId="4"/>
    <cellStyle name="20% - 强调文字颜色 5 2" xfId="5"/>
    <cellStyle name="20% - 强调文字颜色 6 2" xfId="6"/>
    <cellStyle name="40% - 强调文字颜色 1 2" xfId="7"/>
    <cellStyle name="40% - 强调文字颜色 2 2" xfId="8"/>
    <cellStyle name="40% - 强调文字颜色 3 2" xfId="9"/>
    <cellStyle name="40% - 强调文字颜色 4 2" xfId="10"/>
    <cellStyle name="40% - 强调文字颜色 5 2" xfId="11"/>
    <cellStyle name="40% - 强调文字颜色 6 2" xfId="12"/>
    <cellStyle name="60% - 强调文字颜色 1 2" xfId="13"/>
    <cellStyle name="60% - 强调文字颜色 2 2" xfId="14"/>
    <cellStyle name="60% - 强调文字颜色 3 2" xfId="15"/>
    <cellStyle name="60% - 强调文字颜色 4 2" xfId="16"/>
    <cellStyle name="60% - 强调文字颜色 5 2" xfId="17"/>
    <cellStyle name="60% - 强调文字颜色 6 2" xfId="18"/>
    <cellStyle name="Normal_MicroCharts 3 Samples" xfId="19"/>
    <cellStyle name="OBI_ColHeader" xfId="20"/>
    <cellStyle name="百分比 2" xfId="21"/>
    <cellStyle name="标题 1 2" xfId="22"/>
    <cellStyle name="标题 2 2" xfId="23"/>
    <cellStyle name="标题 3 2" xfId="24"/>
    <cellStyle name="标题 4 2" xfId="25"/>
    <cellStyle name="标题 5" xfId="26"/>
    <cellStyle name="差 2" xfId="27"/>
    <cellStyle name="差_mob6违约" xfId="28"/>
    <cellStyle name="差_mob6违约_1" xfId="29"/>
    <cellStyle name="差_Sheet1" xfId="30"/>
    <cellStyle name="差_Sheet1_mob6违约" xfId="31"/>
    <cellStyle name="差_Sheet1_Sheet2" xfId="32"/>
    <cellStyle name="差_Sheet2" xfId="33"/>
    <cellStyle name="差_Sheet2_1" xfId="34"/>
    <cellStyle name="差_Sheet2_mob6违约" xfId="35"/>
    <cellStyle name="差_Sheet2_Sheet2" xfId="36"/>
    <cellStyle name="差_Sheet3" xfId="37"/>
    <cellStyle name="差_Sheet3_mob6违约" xfId="38"/>
    <cellStyle name="差_Sheet3_Sheet2" xfId="39"/>
    <cellStyle name="差_复议" xfId="40"/>
    <cellStyle name="差_复议_1" xfId="41"/>
    <cellStyle name="差_复议_1_mob6违约" xfId="42"/>
    <cellStyle name="差_复议_1_Sheet2" xfId="43"/>
    <cellStyle name="差_复议_mob6违约" xfId="44"/>
    <cellStyle name="差_复议_Sheet2" xfId="45"/>
    <cellStyle name="差_检查系统拒绝" xfId="46"/>
    <cellStyle name="差_门店" xfId="47"/>
    <cellStyle name="差_前两期连续违约" xfId="48"/>
    <cellStyle name="差_前两期连续违约_mob6违约" xfId="49"/>
    <cellStyle name="差_前两期连续违约_Sheet2" xfId="50"/>
    <cellStyle name="差_审核人员" xfId="51"/>
    <cellStyle name="差_审核人员_mob6违约" xfId="52"/>
    <cellStyle name="差_审核人员_Sheet2" xfId="53"/>
    <cellStyle name="差_通过率" xfId="54"/>
    <cellStyle name="差_新核心违约" xfId="55"/>
    <cellStyle name="差_账龄" xfId="56"/>
    <cellStyle name="差_账龄_mob6违约" xfId="57"/>
    <cellStyle name="差_账龄_Sheet2" xfId="58"/>
    <cellStyle name="常规" xfId="0" builtinId="0"/>
    <cellStyle name="常规 10" xfId="59"/>
    <cellStyle name="常规 12" xfId="129"/>
    <cellStyle name="常规 2" xfId="60"/>
    <cellStyle name="常规 2 2" xfId="61"/>
    <cellStyle name="常规 2 2 2" xfId="62"/>
    <cellStyle name="常规 2 3" xfId="63"/>
    <cellStyle name="常规 2 4" xfId="64"/>
    <cellStyle name="常规 2_mob6违约" xfId="65"/>
    <cellStyle name="常规 3" xfId="66"/>
    <cellStyle name="常规 3 2" xfId="67"/>
    <cellStyle name="常规 3_mob6违约" xfId="68"/>
    <cellStyle name="常规 4" xfId="69"/>
    <cellStyle name="常规 4 2" xfId="70"/>
    <cellStyle name="常规 4_mob6违约" xfId="71"/>
    <cellStyle name="常规 5" xfId="72"/>
    <cellStyle name="常规 6" xfId="73"/>
    <cellStyle name="常规 7" xfId="74"/>
    <cellStyle name="常规 8" xfId="75"/>
    <cellStyle name="常规 9" xfId="76"/>
    <cellStyle name="好 2" xfId="77"/>
    <cellStyle name="好_mob6违约" xfId="78"/>
    <cellStyle name="好_mob6违约_1" xfId="79"/>
    <cellStyle name="好_Sheet1" xfId="80"/>
    <cellStyle name="好_Sheet1_mob6违约" xfId="81"/>
    <cellStyle name="好_Sheet1_Sheet2" xfId="82"/>
    <cellStyle name="好_Sheet2" xfId="83"/>
    <cellStyle name="好_Sheet2_1" xfId="84"/>
    <cellStyle name="好_Sheet2_mob6违约" xfId="85"/>
    <cellStyle name="好_Sheet2_Sheet2" xfId="86"/>
    <cellStyle name="好_Sheet3" xfId="87"/>
    <cellStyle name="好_Sheet3_mob6违约" xfId="88"/>
    <cellStyle name="好_Sheet3_Sheet2" xfId="89"/>
    <cellStyle name="好_复议" xfId="90"/>
    <cellStyle name="好_复议_1" xfId="91"/>
    <cellStyle name="好_复议_1_mob6违约" xfId="92"/>
    <cellStyle name="好_复议_1_Sheet2" xfId="93"/>
    <cellStyle name="好_复议_mob6违约" xfId="94"/>
    <cellStyle name="好_复议_Sheet2" xfId="95"/>
    <cellStyle name="好_检查系统拒绝" xfId="96"/>
    <cellStyle name="好_门店" xfId="97"/>
    <cellStyle name="好_前两期连续违约" xfId="98"/>
    <cellStyle name="好_前两期连续违约_mob6违约" xfId="99"/>
    <cellStyle name="好_前两期连续违约_Sheet2" xfId="100"/>
    <cellStyle name="好_审核人员" xfId="101"/>
    <cellStyle name="好_审核人员_mob6违约" xfId="102"/>
    <cellStyle name="好_审核人员_Sheet2" xfId="103"/>
    <cellStyle name="好_通过率" xfId="104"/>
    <cellStyle name="好_新核心违约" xfId="105"/>
    <cellStyle name="好_账龄" xfId="106"/>
    <cellStyle name="好_账龄_mob6违约" xfId="107"/>
    <cellStyle name="好_账龄_Sheet2" xfId="108"/>
    <cellStyle name="汇总 2" xfId="109"/>
    <cellStyle name="货币 2" xfId="110"/>
    <cellStyle name="货币[0] 2" xfId="111"/>
    <cellStyle name="计算 2" xfId="112"/>
    <cellStyle name="检查单元格 2" xfId="113"/>
    <cellStyle name="解释性文本 2" xfId="114"/>
    <cellStyle name="警告文本 2" xfId="115"/>
    <cellStyle name="链接单元格 2" xfId="116"/>
    <cellStyle name="千位分隔 2" xfId="117"/>
    <cellStyle name="千位分隔[0] 2" xfId="118"/>
    <cellStyle name="强调文字颜色 1 2" xfId="119"/>
    <cellStyle name="强调文字颜色 2 2" xfId="120"/>
    <cellStyle name="强调文字颜色 3 2" xfId="121"/>
    <cellStyle name="强调文字颜色 4 2" xfId="122"/>
    <cellStyle name="强调文字颜色 5 2" xfId="123"/>
    <cellStyle name="强调文字颜色 6 2" xfId="124"/>
    <cellStyle name="适中 2" xfId="125"/>
    <cellStyle name="输出 2" xfId="126"/>
    <cellStyle name="输入 2" xfId="127"/>
    <cellStyle name="注释 2" xfId="12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16" fmlaLink="$B$3" horiz="1" max="500" page="10" val="17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942975</xdr:colOff>
          <xdr:row>2</xdr:row>
          <xdr:rowOff>0</xdr:rowOff>
        </xdr:to>
        <xdr:sp macro="" textlink="">
          <xdr:nvSpPr>
            <xdr:cNvPr id="5122" name="Scroll Bar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35"/>
  <sheetViews>
    <sheetView showGridLines="0" topLeftCell="A19" zoomScale="85" zoomScaleNormal="85" workbookViewId="0">
      <selection activeCell="B3" sqref="B3:M36"/>
    </sheetView>
  </sheetViews>
  <sheetFormatPr defaultRowHeight="14.25" x14ac:dyDescent="0.3"/>
  <cols>
    <col min="1" max="1" width="9" style="1"/>
    <col min="2" max="2" width="10.5" style="1" customWidth="1"/>
    <col min="3" max="3" width="11" style="1" customWidth="1"/>
    <col min="4" max="7" width="9" style="1"/>
    <col min="8" max="8" width="9.75" style="1" bestFit="1" customWidth="1"/>
    <col min="9" max="16384" width="9" style="1"/>
  </cols>
  <sheetData>
    <row r="1" spans="2:3" x14ac:dyDescent="0.3">
      <c r="B1" s="5">
        <f ca="1">日期!$C$2</f>
        <v>42625</v>
      </c>
      <c r="C1" s="5">
        <f ca="1">日期!$D$2</f>
        <v>42626</v>
      </c>
    </row>
    <row r="3" spans="2:3" x14ac:dyDescent="0.3">
      <c r="B3" s="1" t="s">
        <v>44</v>
      </c>
    </row>
    <row r="5" spans="2:3" x14ac:dyDescent="0.3">
      <c r="B5" s="1" t="s">
        <v>45</v>
      </c>
    </row>
    <row r="6" spans="2:3" x14ac:dyDescent="0.3">
      <c r="B6" s="1" t="s">
        <v>46</v>
      </c>
    </row>
    <row r="7" spans="2:3" x14ac:dyDescent="0.3">
      <c r="B7" s="1" t="s">
        <v>47</v>
      </c>
    </row>
    <row r="8" spans="2:3" x14ac:dyDescent="0.3">
      <c r="B8" s="1" t="s">
        <v>48</v>
      </c>
    </row>
    <row r="9" spans="2:3" x14ac:dyDescent="0.3">
      <c r="B9" s="1" t="s">
        <v>49</v>
      </c>
    </row>
    <row r="10" spans="2:3" x14ac:dyDescent="0.3">
      <c r="B10" s="1" t="s">
        <v>50</v>
      </c>
    </row>
    <row r="11" spans="2:3" x14ac:dyDescent="0.3">
      <c r="B11" s="1" t="s">
        <v>51</v>
      </c>
    </row>
    <row r="13" spans="2:3" x14ac:dyDescent="0.3">
      <c r="B13" s="1" t="s">
        <v>52</v>
      </c>
    </row>
    <row r="14" spans="2:3" x14ac:dyDescent="0.3">
      <c r="B14" s="1" t="s">
        <v>53</v>
      </c>
    </row>
    <row r="15" spans="2:3" x14ac:dyDescent="0.3">
      <c r="B15" s="1" t="s">
        <v>54</v>
      </c>
    </row>
    <row r="16" spans="2:3" x14ac:dyDescent="0.3">
      <c r="B16" s="1" t="s">
        <v>55</v>
      </c>
    </row>
    <row r="17" spans="2:9" x14ac:dyDescent="0.3">
      <c r="B17" s="1" t="s">
        <v>56</v>
      </c>
    </row>
    <row r="18" spans="2:9" x14ac:dyDescent="0.3">
      <c r="B18" s="1" t="s">
        <v>166</v>
      </c>
    </row>
    <row r="19" spans="2:9" x14ac:dyDescent="0.3">
      <c r="B19" s="1" t="s">
        <v>170</v>
      </c>
    </row>
    <row r="20" spans="2:9" x14ac:dyDescent="0.3">
      <c r="B20" s="1" t="s">
        <v>168</v>
      </c>
    </row>
    <row r="21" spans="2:9" x14ac:dyDescent="0.3">
      <c r="B21" s="1" t="s">
        <v>58</v>
      </c>
    </row>
    <row r="22" spans="2:9" x14ac:dyDescent="0.3">
      <c r="B22" s="1" t="s">
        <v>59</v>
      </c>
    </row>
    <row r="23" spans="2:9" x14ac:dyDescent="0.3">
      <c r="B23" s="1" t="s">
        <v>60</v>
      </c>
    </row>
    <row r="24" spans="2:9" x14ac:dyDescent="0.3">
      <c r="B24" s="1" t="s">
        <v>61</v>
      </c>
    </row>
    <row r="25" spans="2:9" x14ac:dyDescent="0.3">
      <c r="B25" s="1" t="s">
        <v>62</v>
      </c>
    </row>
    <row r="26" spans="2:9" x14ac:dyDescent="0.3">
      <c r="B26" s="1" t="s">
        <v>63</v>
      </c>
    </row>
    <row r="27" spans="2:9" x14ac:dyDescent="0.3">
      <c r="B27" s="1" t="s">
        <v>64</v>
      </c>
    </row>
    <row r="28" spans="2:9" x14ac:dyDescent="0.3">
      <c r="B28" s="1" t="s">
        <v>65</v>
      </c>
    </row>
    <row r="29" spans="2:9" x14ac:dyDescent="0.3">
      <c r="B29" s="1" t="s">
        <v>66</v>
      </c>
    </row>
    <row r="30" spans="2:9" x14ac:dyDescent="0.3">
      <c r="B30" s="1" t="s">
        <v>66</v>
      </c>
    </row>
    <row r="31" spans="2:9" x14ac:dyDescent="0.3">
      <c r="B31" s="1" t="s">
        <v>75</v>
      </c>
      <c r="H31" s="5">
        <f ca="1">$B$1</f>
        <v>42625</v>
      </c>
      <c r="I31" s="1" t="s">
        <v>76</v>
      </c>
    </row>
    <row r="32" spans="2:9" x14ac:dyDescent="0.3">
      <c r="B32" s="1" t="s">
        <v>77</v>
      </c>
      <c r="H32" s="5">
        <f ca="1">$C$1</f>
        <v>42626</v>
      </c>
      <c r="I32" s="1" t="s">
        <v>78</v>
      </c>
    </row>
    <row r="34" spans="2:2" x14ac:dyDescent="0.3">
      <c r="B34" s="1" t="s">
        <v>165</v>
      </c>
    </row>
    <row r="35" spans="2:2" x14ac:dyDescent="0.3">
      <c r="B35" s="1" t="s">
        <v>67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N72"/>
  <sheetViews>
    <sheetView showGridLines="0" tabSelected="1" zoomScale="85" zoomScaleNormal="85" workbookViewId="0">
      <selection activeCell="B4" sqref="B4:K37"/>
    </sheetView>
  </sheetViews>
  <sheetFormatPr defaultRowHeight="13.5" x14ac:dyDescent="0.15"/>
  <cols>
    <col min="8" max="8" width="9.75" bestFit="1" customWidth="1"/>
  </cols>
  <sheetData>
    <row r="4" spans="2:14" ht="15.75" x14ac:dyDescent="0.3">
      <c r="B4" s="1" t="s">
        <v>44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2:14" ht="15.75" x14ac:dyDescent="0.3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2:14" ht="15.75" x14ac:dyDescent="0.3">
      <c r="B6" s="1" t="s">
        <v>45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2:14" ht="15.75" x14ac:dyDescent="0.3">
      <c r="B7" s="1" t="s">
        <v>46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2:14" ht="15.75" x14ac:dyDescent="0.3">
      <c r="B8" s="1" t="s">
        <v>47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2:14" ht="15.75" x14ac:dyDescent="0.3">
      <c r="B9" s="1" t="s">
        <v>48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2:14" ht="15.75" x14ac:dyDescent="0.3">
      <c r="B10" s="1" t="s">
        <v>49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2:14" ht="15.75" x14ac:dyDescent="0.3">
      <c r="B11" s="1" t="s">
        <v>50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2:14" ht="15.75" x14ac:dyDescent="0.3">
      <c r="B12" s="1" t="s">
        <v>51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2:14" ht="15.75" x14ac:dyDescent="0.3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2:14" ht="15.75" x14ac:dyDescent="0.3">
      <c r="B14" s="1" t="s">
        <v>52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2:14" ht="15.75" x14ac:dyDescent="0.3">
      <c r="B15" s="1" t="s">
        <v>53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2:14" ht="15.75" x14ac:dyDescent="0.3">
      <c r="B16" s="1" t="s">
        <v>54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2:14" ht="15.75" x14ac:dyDescent="0.3">
      <c r="B17" s="1" t="s">
        <v>55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2:14" ht="15.75" x14ac:dyDescent="0.3">
      <c r="B18" s="1" t="s">
        <v>56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2:14" ht="15.75" x14ac:dyDescent="0.3">
      <c r="B19" s="1" t="s">
        <v>57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2:14" ht="15.75" x14ac:dyDescent="0.3">
      <c r="B20" s="1" t="s">
        <v>169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2:14" ht="15.75" x14ac:dyDescent="0.3">
      <c r="B21" s="1" t="s">
        <v>167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2:14" ht="15.75" x14ac:dyDescent="0.3">
      <c r="B22" s="1" t="s">
        <v>58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2:14" ht="15.75" x14ac:dyDescent="0.3">
      <c r="B23" s="1" t="s">
        <v>59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2:14" ht="15.75" x14ac:dyDescent="0.3">
      <c r="B24" s="1" t="s">
        <v>60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2:14" ht="15.75" x14ac:dyDescent="0.3">
      <c r="B25" s="1" t="s">
        <v>61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2:14" ht="15.75" x14ac:dyDescent="0.3">
      <c r="B26" s="1" t="s">
        <v>62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2:14" ht="15.75" x14ac:dyDescent="0.3">
      <c r="B27" s="1" t="s">
        <v>63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2:14" ht="15.75" x14ac:dyDescent="0.3">
      <c r="B28" s="1" t="s">
        <v>64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2:14" ht="15.75" x14ac:dyDescent="0.3">
      <c r="B29" s="1" t="s">
        <v>65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2:14" ht="15.75" x14ac:dyDescent="0.3">
      <c r="B30" s="1" t="s">
        <v>66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2:14" ht="15.75" x14ac:dyDescent="0.3">
      <c r="B31" s="1" t="s">
        <v>66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2:14" ht="15.75" x14ac:dyDescent="0.3">
      <c r="B32" s="1" t="s">
        <v>75</v>
      </c>
      <c r="C32" s="1"/>
      <c r="D32" s="1"/>
      <c r="E32" s="1"/>
      <c r="F32" s="1"/>
      <c r="G32" s="1"/>
      <c r="H32" s="5">
        <f ca="1">日期!$C$2</f>
        <v>42625</v>
      </c>
      <c r="I32" s="1" t="s">
        <v>76</v>
      </c>
      <c r="J32" s="1"/>
      <c r="K32" s="1"/>
      <c r="L32" s="1"/>
      <c r="M32" s="1"/>
      <c r="N32" s="1"/>
    </row>
    <row r="33" spans="2:14" ht="15.75" x14ac:dyDescent="0.3">
      <c r="B33" s="1" t="s">
        <v>77</v>
      </c>
      <c r="C33" s="1"/>
      <c r="D33" s="1"/>
      <c r="E33" s="1"/>
      <c r="F33" s="1"/>
      <c r="G33" s="1"/>
      <c r="H33" s="5">
        <f ca="1">日期!$D$2</f>
        <v>42626</v>
      </c>
      <c r="I33" s="1" t="s">
        <v>78</v>
      </c>
      <c r="J33" s="1"/>
      <c r="K33" s="1"/>
      <c r="L33" s="1"/>
      <c r="M33" s="1"/>
      <c r="N33" s="1"/>
    </row>
    <row r="34" spans="2:14" ht="15.75" x14ac:dyDescent="0.3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2:14" ht="15.75" x14ac:dyDescent="0.3">
      <c r="B35" s="1" t="s">
        <v>175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2:14" ht="15.75" x14ac:dyDescent="0.3">
      <c r="B36" s="1" t="s">
        <v>67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8" spans="2:14" ht="15.75" x14ac:dyDescent="0.3">
      <c r="B38" s="1"/>
    </row>
    <row r="40" spans="2:14" ht="15.75" x14ac:dyDescent="0.3"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2:14" ht="15.75" x14ac:dyDescent="0.3"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2:14" ht="15.75" x14ac:dyDescent="0.3"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2:14" ht="15.75" x14ac:dyDescent="0.3"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2:14" ht="15.75" x14ac:dyDescent="0.3"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2:14" ht="15.75" x14ac:dyDescent="0.3"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2:14" ht="15.75" x14ac:dyDescent="0.3"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2:14" ht="15.75" x14ac:dyDescent="0.3"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2:14" ht="15.75" x14ac:dyDescent="0.3"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2:11" ht="15.75" x14ac:dyDescent="0.3"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2:11" ht="15.75" x14ac:dyDescent="0.3"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2:11" ht="15.75" x14ac:dyDescent="0.3"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2:11" ht="15.75" x14ac:dyDescent="0.3"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2:11" ht="15.75" x14ac:dyDescent="0.3"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2:11" ht="15.75" x14ac:dyDescent="0.3"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2:11" ht="15.75" x14ac:dyDescent="0.3"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2:11" ht="15.75" x14ac:dyDescent="0.3"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2:11" ht="15.75" x14ac:dyDescent="0.3"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2:11" ht="15.75" x14ac:dyDescent="0.3"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2:11" ht="15.75" x14ac:dyDescent="0.3"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2:11" ht="15.75" x14ac:dyDescent="0.3"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2:11" ht="15.75" x14ac:dyDescent="0.3"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2:11" ht="15.75" x14ac:dyDescent="0.3"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2:11" ht="15.75" x14ac:dyDescent="0.3"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2:11" ht="15.75" x14ac:dyDescent="0.3"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2:11" ht="15.75" x14ac:dyDescent="0.3"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2:11" ht="15.75" x14ac:dyDescent="0.3"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2:11" ht="15.75" x14ac:dyDescent="0.3"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2:11" ht="15.75" x14ac:dyDescent="0.3">
      <c r="B68" s="1"/>
      <c r="C68" s="1"/>
      <c r="D68" s="1"/>
      <c r="E68" s="1"/>
      <c r="F68" s="1"/>
      <c r="G68" s="1"/>
      <c r="H68" s="5"/>
      <c r="I68" s="1"/>
      <c r="J68" s="1"/>
      <c r="K68" s="1"/>
    </row>
    <row r="69" spans="2:11" ht="15.75" x14ac:dyDescent="0.3">
      <c r="B69" s="1"/>
      <c r="C69" s="1"/>
      <c r="D69" s="1"/>
      <c r="E69" s="1"/>
      <c r="F69" s="1"/>
      <c r="G69" s="1"/>
      <c r="H69" s="5"/>
      <c r="I69" s="1"/>
      <c r="J69" s="1"/>
      <c r="K69" s="1"/>
    </row>
    <row r="70" spans="2:11" ht="15.75" x14ac:dyDescent="0.3"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2:11" ht="15.75" x14ac:dyDescent="0.3"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2:11" ht="15.75" x14ac:dyDescent="0.3">
      <c r="B72" s="1"/>
      <c r="C72" s="1"/>
      <c r="D72" s="1"/>
      <c r="E72" s="1"/>
      <c r="F72" s="1"/>
      <c r="G72" s="1"/>
      <c r="H72" s="1"/>
      <c r="I72" s="1"/>
      <c r="J72" s="1"/>
      <c r="K72" s="1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35"/>
  <sheetViews>
    <sheetView showGridLines="0" zoomScale="85" zoomScaleNormal="85" workbookViewId="0">
      <selection activeCell="K29" sqref="K29"/>
    </sheetView>
  </sheetViews>
  <sheetFormatPr defaultRowHeight="13.5" x14ac:dyDescent="0.15"/>
  <sheetData>
    <row r="3" spans="2:13" ht="15.75" x14ac:dyDescent="0.3"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2:13" ht="15.75" x14ac:dyDescent="0.3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ht="15.75" x14ac:dyDescent="0.3"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15.75" x14ac:dyDescent="0.3">
      <c r="B6" s="1" t="s">
        <v>46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2:13" ht="15.75" x14ac:dyDescent="0.3">
      <c r="B7" s="1" t="s">
        <v>47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2:13" ht="15.75" x14ac:dyDescent="0.3">
      <c r="B8" s="1" t="s">
        <v>48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3" ht="15.75" x14ac:dyDescent="0.3">
      <c r="B9" s="1" t="s">
        <v>49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2:13" ht="15.75" x14ac:dyDescent="0.3">
      <c r="B10" s="1" t="s">
        <v>50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2:13" ht="15.75" x14ac:dyDescent="0.3">
      <c r="B11" s="1" t="s">
        <v>51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2:13" ht="15.75" x14ac:dyDescent="0.3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3" ht="15.75" x14ac:dyDescent="0.3">
      <c r="B13" s="1" t="s">
        <v>52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2:13" ht="15.75" x14ac:dyDescent="0.3">
      <c r="B14" s="1" t="s">
        <v>53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2:13" ht="15.75" x14ac:dyDescent="0.3">
      <c r="B15" s="1" t="s">
        <v>54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2:13" ht="15.75" x14ac:dyDescent="0.3">
      <c r="B16" s="1" t="s">
        <v>55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2:13" ht="15.75" x14ac:dyDescent="0.3">
      <c r="B17" s="1" t="s">
        <v>56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2:13" ht="15.75" x14ac:dyDescent="0.3">
      <c r="B18" s="1" t="s">
        <v>57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2:13" ht="15.75" x14ac:dyDescent="0.3">
      <c r="B19" s="1" t="s">
        <v>169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2:13" ht="15.75" x14ac:dyDescent="0.3">
      <c r="B20" s="1" t="s">
        <v>167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2:13" ht="15.75" x14ac:dyDescent="0.3">
      <c r="B21" s="1" t="s">
        <v>58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2:13" ht="15.75" x14ac:dyDescent="0.3">
      <c r="B22" s="1" t="s">
        <v>59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2:13" ht="15.75" x14ac:dyDescent="0.3">
      <c r="B23" s="1" t="s">
        <v>60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2:13" ht="15.75" x14ac:dyDescent="0.3">
      <c r="B24" s="1" t="s">
        <v>61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2:13" ht="15.75" x14ac:dyDescent="0.3">
      <c r="B25" s="1" t="s">
        <v>62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2:13" ht="15.75" x14ac:dyDescent="0.3">
      <c r="B26" s="1" t="s">
        <v>63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2:13" ht="15.75" x14ac:dyDescent="0.3">
      <c r="B27" s="1" t="s">
        <v>64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2:13" ht="15.75" x14ac:dyDescent="0.3">
      <c r="B28" s="1" t="s">
        <v>65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2:13" ht="15.75" x14ac:dyDescent="0.3">
      <c r="B29" s="1" t="s">
        <v>66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2:13" ht="15.75" x14ac:dyDescent="0.3">
      <c r="B30" s="1" t="s">
        <v>66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2:13" ht="15.75" x14ac:dyDescent="0.3">
      <c r="B31" s="1" t="s">
        <v>75</v>
      </c>
      <c r="C31" s="1"/>
      <c r="D31" s="1"/>
      <c r="E31" s="1"/>
      <c r="F31" s="1"/>
      <c r="G31" s="1"/>
      <c r="H31" s="5">
        <f ca="1">日期!$C$2</f>
        <v>42625</v>
      </c>
      <c r="I31" s="1" t="s">
        <v>76</v>
      </c>
      <c r="J31" s="1"/>
      <c r="K31" s="1"/>
      <c r="L31" s="1"/>
      <c r="M31" s="1"/>
    </row>
    <row r="32" spans="2:13" ht="15.75" x14ac:dyDescent="0.3">
      <c r="B32" s="1" t="s">
        <v>77</v>
      </c>
      <c r="C32" s="1"/>
      <c r="D32" s="1"/>
      <c r="E32" s="1"/>
      <c r="F32" s="1"/>
      <c r="G32" s="1"/>
      <c r="H32" s="5">
        <f ca="1">日期!$D$2</f>
        <v>42626</v>
      </c>
      <c r="I32" s="1" t="s">
        <v>78</v>
      </c>
      <c r="J32" s="1"/>
      <c r="K32" s="1"/>
      <c r="L32" s="1"/>
      <c r="M32" s="1"/>
    </row>
    <row r="33" spans="2:13" ht="15.75" x14ac:dyDescent="0.3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2:13" ht="15.75" x14ac:dyDescent="0.3">
      <c r="B34" s="1" t="s">
        <v>176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2:13" ht="15.75" x14ac:dyDescent="0.3">
      <c r="B35" s="1" t="s">
        <v>67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L38"/>
  <sheetViews>
    <sheetView showGridLines="0" topLeftCell="A7" zoomScale="85" zoomScaleNormal="85" workbookViewId="0">
      <selection activeCell="H34" sqref="H34"/>
    </sheetView>
  </sheetViews>
  <sheetFormatPr defaultRowHeight="13.5" x14ac:dyDescent="0.15"/>
  <cols>
    <col min="8" max="8" width="10.125" bestFit="1" customWidth="1"/>
  </cols>
  <sheetData>
    <row r="5" spans="2:12" ht="15.75" x14ac:dyDescent="0.3">
      <c r="B5" s="1" t="s">
        <v>44</v>
      </c>
      <c r="C5" s="1"/>
      <c r="D5" s="1"/>
      <c r="E5" s="1"/>
      <c r="F5" s="1"/>
      <c r="G5" s="1"/>
      <c r="H5" s="1"/>
      <c r="I5" s="1"/>
      <c r="J5" s="1"/>
      <c r="K5" s="1"/>
      <c r="L5" s="1"/>
    </row>
    <row r="6" spans="2:12" ht="15.75" x14ac:dyDescent="0.3"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2:12" ht="15.75" x14ac:dyDescent="0.3">
      <c r="B7" s="1" t="s">
        <v>45</v>
      </c>
      <c r="C7" s="1"/>
      <c r="D7" s="1"/>
      <c r="E7" s="1"/>
      <c r="F7" s="1"/>
      <c r="G7" s="1"/>
      <c r="H7" s="1"/>
      <c r="I7" s="1"/>
      <c r="J7" s="1"/>
      <c r="K7" s="1"/>
      <c r="L7" s="1"/>
    </row>
    <row r="8" spans="2:12" ht="15.75" x14ac:dyDescent="0.3">
      <c r="B8" s="1" t="s">
        <v>46</v>
      </c>
      <c r="C8" s="1"/>
      <c r="D8" s="1"/>
      <c r="E8" s="1"/>
      <c r="F8" s="1"/>
      <c r="G8" s="1"/>
      <c r="H8" s="1"/>
      <c r="I8" s="1"/>
      <c r="J8" s="1"/>
      <c r="K8" s="1"/>
      <c r="L8" s="1"/>
    </row>
    <row r="9" spans="2:12" ht="15.75" x14ac:dyDescent="0.3">
      <c r="B9" s="1" t="s">
        <v>47</v>
      </c>
      <c r="C9" s="1"/>
      <c r="D9" s="1"/>
      <c r="E9" s="1"/>
      <c r="F9" s="1"/>
      <c r="G9" s="1"/>
      <c r="H9" s="1"/>
      <c r="I9" s="1"/>
      <c r="J9" s="1"/>
      <c r="K9" s="1"/>
      <c r="L9" s="1"/>
    </row>
    <row r="10" spans="2:12" ht="15.75" x14ac:dyDescent="0.3">
      <c r="B10" s="1" t="s">
        <v>48</v>
      </c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2:12" ht="15.75" x14ac:dyDescent="0.3">
      <c r="B11" s="1" t="s">
        <v>49</v>
      </c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2:12" ht="15.75" x14ac:dyDescent="0.3">
      <c r="B12" s="1" t="s">
        <v>50</v>
      </c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2:12" ht="15.75" x14ac:dyDescent="0.3">
      <c r="B13" s="1" t="s">
        <v>51</v>
      </c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2:12" ht="15.75" x14ac:dyDescent="0.3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2:12" ht="15.75" x14ac:dyDescent="0.3">
      <c r="B15" s="1" t="s">
        <v>52</v>
      </c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2:12" ht="15.75" x14ac:dyDescent="0.3">
      <c r="B16" s="1" t="s">
        <v>53</v>
      </c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2:12" ht="15.75" x14ac:dyDescent="0.3">
      <c r="B17" s="1" t="s">
        <v>54</v>
      </c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2:12" ht="15.75" x14ac:dyDescent="0.3">
      <c r="B18" s="1" t="s">
        <v>55</v>
      </c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2:12" ht="15.75" x14ac:dyDescent="0.3">
      <c r="B19" s="1" t="s">
        <v>56</v>
      </c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2:12" ht="15.75" x14ac:dyDescent="0.3">
      <c r="B20" s="1" t="s">
        <v>57</v>
      </c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2:12" ht="15.75" x14ac:dyDescent="0.3">
      <c r="B21" s="1" t="s">
        <v>169</v>
      </c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2:12" ht="15.75" x14ac:dyDescent="0.3">
      <c r="B22" s="1" t="s">
        <v>167</v>
      </c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2:12" ht="15.75" x14ac:dyDescent="0.3">
      <c r="B23" s="1" t="s">
        <v>58</v>
      </c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2:12" ht="15.75" x14ac:dyDescent="0.3">
      <c r="B24" s="1" t="s">
        <v>59</v>
      </c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2:12" ht="15.75" x14ac:dyDescent="0.3">
      <c r="B25" s="1" t="s">
        <v>60</v>
      </c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2:12" ht="15.75" x14ac:dyDescent="0.3">
      <c r="B26" s="1" t="s">
        <v>61</v>
      </c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2:12" ht="15.75" x14ac:dyDescent="0.3">
      <c r="B27" s="1" t="s">
        <v>62</v>
      </c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ht="15.75" x14ac:dyDescent="0.3">
      <c r="B28" s="1" t="s">
        <v>63</v>
      </c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2:12" ht="15.75" x14ac:dyDescent="0.3">
      <c r="B29" s="1" t="s">
        <v>64</v>
      </c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2:12" ht="15.75" x14ac:dyDescent="0.3">
      <c r="B30" s="1" t="s">
        <v>65</v>
      </c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2:12" ht="15.75" x14ac:dyDescent="0.3">
      <c r="B31" s="1" t="s">
        <v>66</v>
      </c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2:12" ht="15.75" x14ac:dyDescent="0.3">
      <c r="B32" s="1" t="s">
        <v>66</v>
      </c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2:12" ht="15.75" x14ac:dyDescent="0.3">
      <c r="B33" s="1" t="s">
        <v>171</v>
      </c>
      <c r="C33" s="1"/>
      <c r="D33" s="1"/>
      <c r="E33" s="1"/>
      <c r="F33" s="1"/>
      <c r="G33" s="1"/>
      <c r="H33" s="5">
        <f ca="1">日期!$C$2</f>
        <v>42625</v>
      </c>
      <c r="I33" s="1" t="s">
        <v>76</v>
      </c>
      <c r="J33" s="1"/>
      <c r="K33" s="1"/>
      <c r="L33" s="1"/>
    </row>
    <row r="34" spans="2:12" ht="15.75" x14ac:dyDescent="0.3">
      <c r="B34" s="1" t="s">
        <v>172</v>
      </c>
      <c r="C34" s="1"/>
      <c r="D34" s="1"/>
      <c r="E34" s="1"/>
      <c r="F34" s="1"/>
      <c r="G34" s="1"/>
      <c r="H34" s="5">
        <f ca="1">日期!$D$2</f>
        <v>42626</v>
      </c>
      <c r="I34" s="1" t="s">
        <v>173</v>
      </c>
      <c r="J34" s="1"/>
      <c r="K34" s="1"/>
      <c r="L34" s="1"/>
    </row>
    <row r="35" spans="2:12" ht="15.75" x14ac:dyDescent="0.3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2:12" ht="15.75" x14ac:dyDescent="0.3">
      <c r="B36" s="1" t="s">
        <v>174</v>
      </c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2:12" ht="15.75" x14ac:dyDescent="0.3">
      <c r="B37" s="1" t="s">
        <v>67</v>
      </c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2:12" ht="15.75" x14ac:dyDescent="0.3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N63"/>
  <sheetViews>
    <sheetView showGridLines="0" zoomScale="85" zoomScaleNormal="85" workbookViewId="0">
      <pane ySplit="1" topLeftCell="A26" activePane="bottomLeft" state="frozen"/>
      <selection pane="bottomLeft" activeCell="B62" sqref="B62"/>
    </sheetView>
  </sheetViews>
  <sheetFormatPr defaultRowHeight="14.25" x14ac:dyDescent="0.3"/>
  <cols>
    <col min="1" max="1" width="9" style="1"/>
    <col min="2" max="2" width="10" style="1" bestFit="1" customWidth="1"/>
    <col min="3" max="3" width="10" style="1" customWidth="1"/>
    <col min="4" max="7" width="9" style="1"/>
    <col min="8" max="8" width="10" style="1" bestFit="1" customWidth="1"/>
    <col min="9" max="13" width="9" style="1"/>
    <col min="14" max="14" width="9.75" style="1" bestFit="1" customWidth="1"/>
    <col min="15" max="16384" width="9" style="1"/>
  </cols>
  <sheetData>
    <row r="1" spans="2:9" x14ac:dyDescent="0.3">
      <c r="B1" s="9">
        <f ca="1">日期!$C$2</f>
        <v>42625</v>
      </c>
      <c r="C1" s="9">
        <f ca="1">日期!$D$2</f>
        <v>42626</v>
      </c>
    </row>
    <row r="3" spans="2:9" x14ac:dyDescent="0.3">
      <c r="B3" s="1" t="s">
        <v>0</v>
      </c>
    </row>
    <row r="4" spans="2:9" x14ac:dyDescent="0.3">
      <c r="B4" s="1" t="s">
        <v>1</v>
      </c>
    </row>
    <row r="5" spans="2:9" x14ac:dyDescent="0.3">
      <c r="B5" s="1" t="s">
        <v>7</v>
      </c>
    </row>
    <row r="6" spans="2:9" x14ac:dyDescent="0.3">
      <c r="B6" s="1" t="s">
        <v>8</v>
      </c>
    </row>
    <row r="7" spans="2:9" x14ac:dyDescent="0.3">
      <c r="B7" s="1" t="s">
        <v>2</v>
      </c>
    </row>
    <row r="8" spans="2:9" x14ac:dyDescent="0.3">
      <c r="B8" s="1" t="s">
        <v>3</v>
      </c>
    </row>
    <row r="9" spans="2:9" x14ac:dyDescent="0.3">
      <c r="B9" s="1" t="s">
        <v>4</v>
      </c>
    </row>
    <row r="10" spans="2:9" x14ac:dyDescent="0.3">
      <c r="B10" s="1" t="s">
        <v>5</v>
      </c>
    </row>
    <row r="11" spans="2:9" x14ac:dyDescent="0.3">
      <c r="B11" s="1" t="s">
        <v>6</v>
      </c>
    </row>
    <row r="12" spans="2:9" x14ac:dyDescent="0.3">
      <c r="B12" s="1" t="s">
        <v>124</v>
      </c>
    </row>
    <row r="13" spans="2:9" x14ac:dyDescent="0.3">
      <c r="B13" s="1" t="s">
        <v>9</v>
      </c>
    </row>
    <row r="14" spans="2:9" x14ac:dyDescent="0.3">
      <c r="B14" s="1" t="s">
        <v>10</v>
      </c>
    </row>
    <row r="15" spans="2:9" x14ac:dyDescent="0.3">
      <c r="B15" s="1" t="s">
        <v>11</v>
      </c>
    </row>
    <row r="16" spans="2:9" x14ac:dyDescent="0.3">
      <c r="B16" s="1" t="s">
        <v>68</v>
      </c>
      <c r="H16" s="5">
        <f ca="1">$B$1</f>
        <v>42625</v>
      </c>
      <c r="I16" s="1" t="s">
        <v>69</v>
      </c>
    </row>
    <row r="17" spans="2:9" x14ac:dyDescent="0.3">
      <c r="B17" s="1" t="s">
        <v>70</v>
      </c>
      <c r="H17" s="5">
        <f ca="1">$C$1</f>
        <v>42626</v>
      </c>
      <c r="I17" s="1" t="s">
        <v>71</v>
      </c>
    </row>
    <row r="18" spans="2:9" x14ac:dyDescent="0.3">
      <c r="B18" s="1" t="s">
        <v>12</v>
      </c>
    </row>
    <row r="20" spans="2:9" x14ac:dyDescent="0.3">
      <c r="B20" s="1" t="s">
        <v>13</v>
      </c>
    </row>
    <row r="21" spans="2:9" x14ac:dyDescent="0.3">
      <c r="B21" s="1" t="s">
        <v>14</v>
      </c>
    </row>
    <row r="22" spans="2:9" x14ac:dyDescent="0.3">
      <c r="B22" s="1" t="s">
        <v>15</v>
      </c>
    </row>
    <row r="23" spans="2:9" x14ac:dyDescent="0.3">
      <c r="B23" s="1" t="s">
        <v>16</v>
      </c>
    </row>
    <row r="24" spans="2:9" x14ac:dyDescent="0.3">
      <c r="B24" s="1" t="s">
        <v>72</v>
      </c>
      <c r="H24" s="5">
        <f ca="1">$B$1</f>
        <v>42625</v>
      </c>
      <c r="I24" s="1" t="s">
        <v>73</v>
      </c>
    </row>
    <row r="25" spans="2:9" x14ac:dyDescent="0.3">
      <c r="B25" s="1" t="s">
        <v>74</v>
      </c>
      <c r="H25" s="5">
        <f ca="1">$C$1</f>
        <v>42626</v>
      </c>
      <c r="I25" s="1" t="s">
        <v>71</v>
      </c>
    </row>
    <row r="26" spans="2:9" x14ac:dyDescent="0.3">
      <c r="B26" s="1" t="s">
        <v>17</v>
      </c>
    </row>
    <row r="27" spans="2:9" x14ac:dyDescent="0.3">
      <c r="B27" s="1" t="s">
        <v>18</v>
      </c>
    </row>
    <row r="28" spans="2:9" x14ac:dyDescent="0.3">
      <c r="B28" s="1" t="s">
        <v>19</v>
      </c>
    </row>
    <row r="29" spans="2:9" x14ac:dyDescent="0.3">
      <c r="B29" s="1" t="s">
        <v>20</v>
      </c>
    </row>
    <row r="30" spans="2:9" x14ac:dyDescent="0.3">
      <c r="B30" s="1" t="s">
        <v>21</v>
      </c>
    </row>
    <row r="31" spans="2:9" x14ac:dyDescent="0.3">
      <c r="B31" s="1" t="s">
        <v>22</v>
      </c>
    </row>
    <row r="32" spans="2:9" x14ac:dyDescent="0.3">
      <c r="B32" s="1" t="s">
        <v>23</v>
      </c>
    </row>
    <row r="33" spans="2:14" x14ac:dyDescent="0.3">
      <c r="B33" s="1" t="s">
        <v>24</v>
      </c>
    </row>
    <row r="34" spans="2:14" x14ac:dyDescent="0.3">
      <c r="B34" s="1" t="s">
        <v>25</v>
      </c>
    </row>
    <row r="35" spans="2:14" x14ac:dyDescent="0.3">
      <c r="B35" s="1" t="s">
        <v>26</v>
      </c>
    </row>
    <row r="36" spans="2:14" x14ac:dyDescent="0.3">
      <c r="B36" s="1" t="s">
        <v>27</v>
      </c>
    </row>
    <row r="40" spans="2:14" x14ac:dyDescent="0.3">
      <c r="B40" s="1" t="s">
        <v>28</v>
      </c>
    </row>
    <row r="41" spans="2:14" x14ac:dyDescent="0.3">
      <c r="B41" s="1" t="s">
        <v>29</v>
      </c>
    </row>
    <row r="42" spans="2:14" x14ac:dyDescent="0.3">
      <c r="B42" s="1" t="s">
        <v>30</v>
      </c>
    </row>
    <row r="43" spans="2:14" x14ac:dyDescent="0.3">
      <c r="B43" s="1" t="s">
        <v>11</v>
      </c>
    </row>
    <row r="44" spans="2:14" x14ac:dyDescent="0.3">
      <c r="B44" s="1" t="s">
        <v>68</v>
      </c>
      <c r="H44" s="5">
        <f ca="1">$H$45-30</f>
        <v>42595</v>
      </c>
      <c r="I44" s="1" t="s">
        <v>73</v>
      </c>
      <c r="N44" s="2"/>
    </row>
    <row r="45" spans="2:14" x14ac:dyDescent="0.3">
      <c r="B45" s="1" t="s">
        <v>70</v>
      </c>
      <c r="H45" s="5">
        <f ca="1">$B$1</f>
        <v>42625</v>
      </c>
      <c r="I45" s="1" t="s">
        <v>82</v>
      </c>
    </row>
    <row r="46" spans="2:14" x14ac:dyDescent="0.3">
      <c r="B46" s="1" t="s">
        <v>31</v>
      </c>
    </row>
    <row r="47" spans="2:14" x14ac:dyDescent="0.3">
      <c r="B47" s="1" t="s">
        <v>32</v>
      </c>
    </row>
    <row r="48" spans="2:14" x14ac:dyDescent="0.3">
      <c r="B48" s="1" t="s">
        <v>33</v>
      </c>
    </row>
    <row r="49" spans="2:2" x14ac:dyDescent="0.3">
      <c r="B49" s="1" t="s">
        <v>34</v>
      </c>
    </row>
    <row r="50" spans="2:2" x14ac:dyDescent="0.3">
      <c r="B50" s="1" t="s">
        <v>35</v>
      </c>
    </row>
    <row r="51" spans="2:2" x14ac:dyDescent="0.3">
      <c r="B51" s="1" t="s">
        <v>36</v>
      </c>
    </row>
    <row r="52" spans="2:2" x14ac:dyDescent="0.3">
      <c r="B52" s="1" t="s">
        <v>85</v>
      </c>
    </row>
    <row r="53" spans="2:2" x14ac:dyDescent="0.3">
      <c r="B53" s="1" t="s">
        <v>37</v>
      </c>
    </row>
    <row r="54" spans="2:2" x14ac:dyDescent="0.3">
      <c r="B54" s="1" t="s">
        <v>38</v>
      </c>
    </row>
    <row r="55" spans="2:2" x14ac:dyDescent="0.3">
      <c r="B55" s="1" t="s">
        <v>39</v>
      </c>
    </row>
    <row r="56" spans="2:2" x14ac:dyDescent="0.3">
      <c r="B56" s="1" t="s">
        <v>40</v>
      </c>
    </row>
    <row r="57" spans="2:2" x14ac:dyDescent="0.3">
      <c r="B57" s="1" t="s">
        <v>81</v>
      </c>
    </row>
    <row r="58" spans="2:2" x14ac:dyDescent="0.3">
      <c r="B58" s="1" t="s">
        <v>41</v>
      </c>
    </row>
    <row r="59" spans="2:2" x14ac:dyDescent="0.3">
      <c r="B59" s="1" t="s">
        <v>42</v>
      </c>
    </row>
    <row r="61" spans="2:2" x14ac:dyDescent="0.3">
      <c r="B61" s="1" t="s">
        <v>43</v>
      </c>
    </row>
    <row r="62" spans="2:2" x14ac:dyDescent="0.3">
      <c r="B62" s="1" t="s">
        <v>83</v>
      </c>
    </row>
    <row r="63" spans="2:2" x14ac:dyDescent="0.3">
      <c r="B63" s="1" t="s">
        <v>84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I175"/>
  <sheetViews>
    <sheetView topLeftCell="A154" workbookViewId="0">
      <selection activeCell="B174" sqref="B174:B175"/>
    </sheetView>
  </sheetViews>
  <sheetFormatPr defaultRowHeight="14.25" x14ac:dyDescent="0.3"/>
  <cols>
    <col min="1" max="1" width="9" style="4"/>
    <col min="2" max="2" width="12.5" style="3" bestFit="1" customWidth="1"/>
    <col min="3" max="3" width="10.625" style="4" customWidth="1"/>
    <col min="4" max="4" width="9.75" style="4" bestFit="1" customWidth="1"/>
    <col min="5" max="16384" width="9" style="4"/>
  </cols>
  <sheetData>
    <row r="2" spans="2:5" x14ac:dyDescent="0.3">
      <c r="C2" s="5">
        <f ca="1">OFFSET(B3,B3,0,1,1)</f>
        <v>42625</v>
      </c>
      <c r="D2" s="5">
        <f ca="1">OFFSET(B3,B3+1,0,1,1)</f>
        <v>42626</v>
      </c>
      <c r="E2" s="14" t="s">
        <v>159</v>
      </c>
    </row>
    <row r="3" spans="2:5" x14ac:dyDescent="0.3">
      <c r="B3" s="4">
        <v>171</v>
      </c>
      <c r="C3" s="7" t="s">
        <v>79</v>
      </c>
      <c r="D3" s="8" t="s">
        <v>80</v>
      </c>
    </row>
    <row r="4" spans="2:5" x14ac:dyDescent="0.3">
      <c r="B4" s="11" t="s">
        <v>86</v>
      </c>
      <c r="C4" s="6"/>
    </row>
    <row r="5" spans="2:5" x14ac:dyDescent="0.3">
      <c r="B5" s="11" t="s">
        <v>87</v>
      </c>
    </row>
    <row r="6" spans="2:5" x14ac:dyDescent="0.3">
      <c r="B6" s="11" t="s">
        <v>88</v>
      </c>
    </row>
    <row r="7" spans="2:5" x14ac:dyDescent="0.3">
      <c r="B7" s="11" t="s">
        <v>89</v>
      </c>
    </row>
    <row r="8" spans="2:5" x14ac:dyDescent="0.3">
      <c r="B8" s="11" t="s">
        <v>90</v>
      </c>
    </row>
    <row r="9" spans="2:5" x14ac:dyDescent="0.3">
      <c r="B9" s="10" t="s">
        <v>91</v>
      </c>
    </row>
    <row r="10" spans="2:5" x14ac:dyDescent="0.3">
      <c r="B10" s="10" t="s">
        <v>92</v>
      </c>
    </row>
    <row r="11" spans="2:5" x14ac:dyDescent="0.3">
      <c r="B11" s="10" t="s">
        <v>93</v>
      </c>
    </row>
    <row r="12" spans="2:5" x14ac:dyDescent="0.3">
      <c r="B12" s="10" t="s">
        <v>94</v>
      </c>
    </row>
    <row r="13" spans="2:5" x14ac:dyDescent="0.3">
      <c r="B13" s="10" t="s">
        <v>95</v>
      </c>
    </row>
    <row r="14" spans="2:5" x14ac:dyDescent="0.3">
      <c r="B14" s="12" t="s">
        <v>96</v>
      </c>
    </row>
    <row r="15" spans="2:5" x14ac:dyDescent="0.3">
      <c r="B15" s="12" t="s">
        <v>97</v>
      </c>
    </row>
    <row r="16" spans="2:5" x14ac:dyDescent="0.3">
      <c r="B16" s="12" t="s">
        <v>98</v>
      </c>
    </row>
    <row r="17" spans="2:2" x14ac:dyDescent="0.3">
      <c r="B17" s="12" t="s">
        <v>99</v>
      </c>
    </row>
    <row r="18" spans="2:2" x14ac:dyDescent="0.3">
      <c r="B18" s="12" t="s">
        <v>100</v>
      </c>
    </row>
    <row r="19" spans="2:2" x14ac:dyDescent="0.3">
      <c r="B19" s="12" t="s">
        <v>101</v>
      </c>
    </row>
    <row r="20" spans="2:2" x14ac:dyDescent="0.3">
      <c r="B20" s="12" t="s">
        <v>102</v>
      </c>
    </row>
    <row r="21" spans="2:2" x14ac:dyDescent="0.3">
      <c r="B21" s="12" t="s">
        <v>103</v>
      </c>
    </row>
    <row r="22" spans="2:2" x14ac:dyDescent="0.3">
      <c r="B22" s="12" t="s">
        <v>104</v>
      </c>
    </row>
    <row r="23" spans="2:2" x14ac:dyDescent="0.3">
      <c r="B23" s="12" t="s">
        <v>105</v>
      </c>
    </row>
    <row r="24" spans="2:2" x14ac:dyDescent="0.3">
      <c r="B24" s="12" t="s">
        <v>106</v>
      </c>
    </row>
    <row r="25" spans="2:2" x14ac:dyDescent="0.3">
      <c r="B25" s="12" t="s">
        <v>107</v>
      </c>
    </row>
    <row r="26" spans="2:2" x14ac:dyDescent="0.3">
      <c r="B26" s="12" t="s">
        <v>108</v>
      </c>
    </row>
    <row r="27" spans="2:2" x14ac:dyDescent="0.3">
      <c r="B27" s="12" t="s">
        <v>109</v>
      </c>
    </row>
    <row r="28" spans="2:2" x14ac:dyDescent="0.3">
      <c r="B28" s="12" t="s">
        <v>110</v>
      </c>
    </row>
    <row r="29" spans="2:2" x14ac:dyDescent="0.3">
      <c r="B29" s="12" t="s">
        <v>111</v>
      </c>
    </row>
    <row r="30" spans="2:2" x14ac:dyDescent="0.3">
      <c r="B30" s="12" t="s">
        <v>112</v>
      </c>
    </row>
    <row r="31" spans="2:2" x14ac:dyDescent="0.3">
      <c r="B31" s="12" t="s">
        <v>113</v>
      </c>
    </row>
    <row r="32" spans="2:2" x14ac:dyDescent="0.3">
      <c r="B32" s="12" t="s">
        <v>114</v>
      </c>
    </row>
    <row r="33" spans="2:9" x14ac:dyDescent="0.3">
      <c r="B33" s="12" t="s">
        <v>115</v>
      </c>
    </row>
    <row r="34" spans="2:9" x14ac:dyDescent="0.3">
      <c r="B34" s="12" t="s">
        <v>116</v>
      </c>
      <c r="I34" s="15"/>
    </row>
    <row r="35" spans="2:9" x14ac:dyDescent="0.3">
      <c r="B35" s="12" t="s">
        <v>117</v>
      </c>
    </row>
    <row r="36" spans="2:9" x14ac:dyDescent="0.3">
      <c r="B36" s="12" t="s">
        <v>118</v>
      </c>
    </row>
    <row r="37" spans="2:9" x14ac:dyDescent="0.3">
      <c r="B37" s="12" t="s">
        <v>119</v>
      </c>
    </row>
    <row r="38" spans="2:9" x14ac:dyDescent="0.3">
      <c r="B38" s="12" t="s">
        <v>120</v>
      </c>
    </row>
    <row r="39" spans="2:9" x14ac:dyDescent="0.3">
      <c r="B39" s="12" t="s">
        <v>121</v>
      </c>
    </row>
    <row r="40" spans="2:9" x14ac:dyDescent="0.3">
      <c r="B40" s="12" t="s">
        <v>122</v>
      </c>
    </row>
    <row r="41" spans="2:9" x14ac:dyDescent="0.3">
      <c r="B41" s="12" t="s">
        <v>123</v>
      </c>
    </row>
    <row r="42" spans="2:9" x14ac:dyDescent="0.3">
      <c r="B42" s="13" t="s">
        <v>125</v>
      </c>
    </row>
    <row r="43" spans="2:9" x14ac:dyDescent="0.3">
      <c r="B43" s="12" t="s">
        <v>126</v>
      </c>
    </row>
    <row r="44" spans="2:9" x14ac:dyDescent="0.3">
      <c r="B44" s="12" t="s">
        <v>127</v>
      </c>
    </row>
    <row r="45" spans="2:9" x14ac:dyDescent="0.3">
      <c r="B45" s="12" t="s">
        <v>128</v>
      </c>
    </row>
    <row r="46" spans="2:9" x14ac:dyDescent="0.3">
      <c r="B46" s="12" t="s">
        <v>129</v>
      </c>
    </row>
    <row r="47" spans="2:9" x14ac:dyDescent="0.3">
      <c r="B47" s="12" t="s">
        <v>130</v>
      </c>
    </row>
    <row r="48" spans="2:9" x14ac:dyDescent="0.3">
      <c r="B48" s="12" t="s">
        <v>131</v>
      </c>
    </row>
    <row r="49" spans="2:2" x14ac:dyDescent="0.3">
      <c r="B49" s="12" t="s">
        <v>132</v>
      </c>
    </row>
    <row r="50" spans="2:2" x14ac:dyDescent="0.3">
      <c r="B50" s="12" t="s">
        <v>133</v>
      </c>
    </row>
    <row r="51" spans="2:2" x14ac:dyDescent="0.3">
      <c r="B51" s="12" t="s">
        <v>134</v>
      </c>
    </row>
    <row r="52" spans="2:2" x14ac:dyDescent="0.3">
      <c r="B52" s="12" t="s">
        <v>135</v>
      </c>
    </row>
    <row r="53" spans="2:2" x14ac:dyDescent="0.3">
      <c r="B53" s="12" t="s">
        <v>136</v>
      </c>
    </row>
    <row r="54" spans="2:2" x14ac:dyDescent="0.3">
      <c r="B54" s="12" t="s">
        <v>137</v>
      </c>
    </row>
    <row r="55" spans="2:2" x14ac:dyDescent="0.3">
      <c r="B55" s="12" t="s">
        <v>138</v>
      </c>
    </row>
    <row r="56" spans="2:2" x14ac:dyDescent="0.3">
      <c r="B56" s="12" t="s">
        <v>139</v>
      </c>
    </row>
    <row r="57" spans="2:2" x14ac:dyDescent="0.3">
      <c r="B57" s="12" t="s">
        <v>140</v>
      </c>
    </row>
    <row r="58" spans="2:2" x14ac:dyDescent="0.3">
      <c r="B58" s="12" t="s">
        <v>141</v>
      </c>
    </row>
    <row r="59" spans="2:2" x14ac:dyDescent="0.3">
      <c r="B59" s="12" t="s">
        <v>142</v>
      </c>
    </row>
    <row r="60" spans="2:2" x14ac:dyDescent="0.3">
      <c r="B60" s="10" t="s">
        <v>143</v>
      </c>
    </row>
    <row r="61" spans="2:2" x14ac:dyDescent="0.3">
      <c r="B61" s="10" t="s">
        <v>144</v>
      </c>
    </row>
    <row r="62" spans="2:2" x14ac:dyDescent="0.3">
      <c r="B62" s="10" t="s">
        <v>145</v>
      </c>
    </row>
    <row r="63" spans="2:2" x14ac:dyDescent="0.3">
      <c r="B63" s="10" t="s">
        <v>146</v>
      </c>
    </row>
    <row r="64" spans="2:2" x14ac:dyDescent="0.3">
      <c r="B64" s="10" t="s">
        <v>147</v>
      </c>
    </row>
    <row r="65" spans="2:2" x14ac:dyDescent="0.3">
      <c r="B65" s="10" t="s">
        <v>148</v>
      </c>
    </row>
    <row r="66" spans="2:2" x14ac:dyDescent="0.3">
      <c r="B66" s="10" t="s">
        <v>149</v>
      </c>
    </row>
    <row r="67" spans="2:2" x14ac:dyDescent="0.3">
      <c r="B67" s="10" t="s">
        <v>150</v>
      </c>
    </row>
    <row r="68" spans="2:2" x14ac:dyDescent="0.3">
      <c r="B68" s="10" t="s">
        <v>151</v>
      </c>
    </row>
    <row r="69" spans="2:2" x14ac:dyDescent="0.3">
      <c r="B69" s="10" t="s">
        <v>152</v>
      </c>
    </row>
    <row r="70" spans="2:2" x14ac:dyDescent="0.3">
      <c r="B70" s="10" t="s">
        <v>153</v>
      </c>
    </row>
    <row r="71" spans="2:2" x14ac:dyDescent="0.3">
      <c r="B71" s="10" t="s">
        <v>154</v>
      </c>
    </row>
    <row r="72" spans="2:2" x14ac:dyDescent="0.3">
      <c r="B72" s="10" t="s">
        <v>155</v>
      </c>
    </row>
    <row r="73" spans="2:2" x14ac:dyDescent="0.3">
      <c r="B73" s="10" t="s">
        <v>156</v>
      </c>
    </row>
    <row r="74" spans="2:2" x14ac:dyDescent="0.3">
      <c r="B74" s="10" t="s">
        <v>157</v>
      </c>
    </row>
    <row r="75" spans="2:2" x14ac:dyDescent="0.3">
      <c r="B75" s="10" t="s">
        <v>158</v>
      </c>
    </row>
    <row r="76" spans="2:2" x14ac:dyDescent="0.3">
      <c r="B76" s="10" t="s">
        <v>160</v>
      </c>
    </row>
    <row r="77" spans="2:2" x14ac:dyDescent="0.3">
      <c r="B77" s="10" t="s">
        <v>161</v>
      </c>
    </row>
    <row r="78" spans="2:2" x14ac:dyDescent="0.3">
      <c r="B78" s="10" t="s">
        <v>162</v>
      </c>
    </row>
    <row r="79" spans="2:2" x14ac:dyDescent="0.3">
      <c r="B79" s="10" t="s">
        <v>163</v>
      </c>
    </row>
    <row r="80" spans="2:2" x14ac:dyDescent="0.3">
      <c r="B80" s="10" t="s">
        <v>164</v>
      </c>
    </row>
    <row r="81" spans="2:2" x14ac:dyDescent="0.3">
      <c r="B81" s="10">
        <v>42493</v>
      </c>
    </row>
    <row r="82" spans="2:2" x14ac:dyDescent="0.3">
      <c r="B82" s="10">
        <v>42494</v>
      </c>
    </row>
    <row r="83" spans="2:2" x14ac:dyDescent="0.3">
      <c r="B83" s="10">
        <v>42495</v>
      </c>
    </row>
    <row r="84" spans="2:2" x14ac:dyDescent="0.3">
      <c r="B84" s="10">
        <v>42496</v>
      </c>
    </row>
    <row r="85" spans="2:2" x14ac:dyDescent="0.3">
      <c r="B85" s="10">
        <v>42499</v>
      </c>
    </row>
    <row r="86" spans="2:2" x14ac:dyDescent="0.3">
      <c r="B86" s="10">
        <v>42500</v>
      </c>
    </row>
    <row r="87" spans="2:2" x14ac:dyDescent="0.3">
      <c r="B87" s="10">
        <v>42501</v>
      </c>
    </row>
    <row r="88" spans="2:2" x14ac:dyDescent="0.3">
      <c r="B88" s="10">
        <v>42502</v>
      </c>
    </row>
    <row r="89" spans="2:2" x14ac:dyDescent="0.3">
      <c r="B89" s="10">
        <v>42503</v>
      </c>
    </row>
    <row r="90" spans="2:2" x14ac:dyDescent="0.3">
      <c r="B90" s="10">
        <v>42506</v>
      </c>
    </row>
    <row r="91" spans="2:2" x14ac:dyDescent="0.3">
      <c r="B91" s="10">
        <v>42507</v>
      </c>
    </row>
    <row r="92" spans="2:2" x14ac:dyDescent="0.3">
      <c r="B92" s="10">
        <v>42508</v>
      </c>
    </row>
    <row r="93" spans="2:2" x14ac:dyDescent="0.3">
      <c r="B93" s="10">
        <v>42509</v>
      </c>
    </row>
    <row r="94" spans="2:2" x14ac:dyDescent="0.3">
      <c r="B94" s="10">
        <v>42510</v>
      </c>
    </row>
    <row r="95" spans="2:2" x14ac:dyDescent="0.3">
      <c r="B95" s="10">
        <v>42513</v>
      </c>
    </row>
    <row r="96" spans="2:2" x14ac:dyDescent="0.3">
      <c r="B96" s="10">
        <v>42514</v>
      </c>
    </row>
    <row r="97" spans="2:2" x14ac:dyDescent="0.3">
      <c r="B97" s="10">
        <v>42515</v>
      </c>
    </row>
    <row r="98" spans="2:2" x14ac:dyDescent="0.3">
      <c r="B98" s="10">
        <v>42516</v>
      </c>
    </row>
    <row r="99" spans="2:2" x14ac:dyDescent="0.3">
      <c r="B99" s="10">
        <v>42517</v>
      </c>
    </row>
    <row r="100" spans="2:2" x14ac:dyDescent="0.3">
      <c r="B100" s="10">
        <v>42520</v>
      </c>
    </row>
    <row r="101" spans="2:2" x14ac:dyDescent="0.3">
      <c r="B101" s="10">
        <v>42521</v>
      </c>
    </row>
    <row r="102" spans="2:2" x14ac:dyDescent="0.3">
      <c r="B102" s="10">
        <v>42522</v>
      </c>
    </row>
    <row r="103" spans="2:2" x14ac:dyDescent="0.3">
      <c r="B103" s="10">
        <v>42523</v>
      </c>
    </row>
    <row r="104" spans="2:2" x14ac:dyDescent="0.3">
      <c r="B104" s="10">
        <v>42524</v>
      </c>
    </row>
    <row r="105" spans="2:2" x14ac:dyDescent="0.3">
      <c r="B105" s="10">
        <v>42527</v>
      </c>
    </row>
    <row r="106" spans="2:2" x14ac:dyDescent="0.3">
      <c r="B106" s="10">
        <v>42528</v>
      </c>
    </row>
    <row r="107" spans="2:2" x14ac:dyDescent="0.3">
      <c r="B107" s="10">
        <v>42529</v>
      </c>
    </row>
    <row r="108" spans="2:2" x14ac:dyDescent="0.3">
      <c r="B108" s="10">
        <v>42533</v>
      </c>
    </row>
    <row r="109" spans="2:2" x14ac:dyDescent="0.3">
      <c r="B109" s="10">
        <v>42534</v>
      </c>
    </row>
    <row r="110" spans="2:2" x14ac:dyDescent="0.3">
      <c r="B110" s="10">
        <v>42535</v>
      </c>
    </row>
    <row r="111" spans="2:2" x14ac:dyDescent="0.3">
      <c r="B111" s="10">
        <v>42536</v>
      </c>
    </row>
    <row r="112" spans="2:2" x14ac:dyDescent="0.3">
      <c r="B112" s="10">
        <v>42537</v>
      </c>
    </row>
    <row r="113" spans="2:2" x14ac:dyDescent="0.3">
      <c r="B113" s="10">
        <v>42538</v>
      </c>
    </row>
    <row r="114" spans="2:2" x14ac:dyDescent="0.3">
      <c r="B114" s="10">
        <v>42541</v>
      </c>
    </row>
    <row r="115" spans="2:2" x14ac:dyDescent="0.3">
      <c r="B115" s="10">
        <v>42542</v>
      </c>
    </row>
    <row r="116" spans="2:2" x14ac:dyDescent="0.3">
      <c r="B116" s="10">
        <v>42543</v>
      </c>
    </row>
    <row r="117" spans="2:2" x14ac:dyDescent="0.3">
      <c r="B117" s="10">
        <v>42544</v>
      </c>
    </row>
    <row r="118" spans="2:2" x14ac:dyDescent="0.3">
      <c r="B118" s="10">
        <v>42545</v>
      </c>
    </row>
    <row r="119" spans="2:2" x14ac:dyDescent="0.3">
      <c r="B119" s="10">
        <v>42548</v>
      </c>
    </row>
    <row r="120" spans="2:2" x14ac:dyDescent="0.3">
      <c r="B120" s="10">
        <v>42549</v>
      </c>
    </row>
    <row r="121" spans="2:2" x14ac:dyDescent="0.3">
      <c r="B121" s="10">
        <v>42550</v>
      </c>
    </row>
    <row r="122" spans="2:2" x14ac:dyDescent="0.3">
      <c r="B122" s="10">
        <v>42551</v>
      </c>
    </row>
    <row r="123" spans="2:2" x14ac:dyDescent="0.3">
      <c r="B123" s="10">
        <v>42552</v>
      </c>
    </row>
    <row r="124" spans="2:2" x14ac:dyDescent="0.3">
      <c r="B124" s="10">
        <v>42555</v>
      </c>
    </row>
    <row r="125" spans="2:2" x14ac:dyDescent="0.3">
      <c r="B125" s="10">
        <v>42556</v>
      </c>
    </row>
    <row r="126" spans="2:2" x14ac:dyDescent="0.3">
      <c r="B126" s="10">
        <v>42557</v>
      </c>
    </row>
    <row r="127" spans="2:2" x14ac:dyDescent="0.3">
      <c r="B127" s="10">
        <v>42558</v>
      </c>
    </row>
    <row r="128" spans="2:2" x14ac:dyDescent="0.3">
      <c r="B128" s="10">
        <v>42559</v>
      </c>
    </row>
    <row r="129" spans="2:2" x14ac:dyDescent="0.3">
      <c r="B129" s="10">
        <v>42562</v>
      </c>
    </row>
    <row r="130" spans="2:2" x14ac:dyDescent="0.3">
      <c r="B130" s="10">
        <v>42563</v>
      </c>
    </row>
    <row r="131" spans="2:2" x14ac:dyDescent="0.3">
      <c r="B131" s="10">
        <v>42564</v>
      </c>
    </row>
    <row r="132" spans="2:2" x14ac:dyDescent="0.3">
      <c r="B132" s="10">
        <v>42565</v>
      </c>
    </row>
    <row r="133" spans="2:2" x14ac:dyDescent="0.3">
      <c r="B133" s="10">
        <v>42566</v>
      </c>
    </row>
    <row r="134" spans="2:2" x14ac:dyDescent="0.3">
      <c r="B134" s="10">
        <v>42569</v>
      </c>
    </row>
    <row r="135" spans="2:2" x14ac:dyDescent="0.3">
      <c r="B135" s="10">
        <v>42570</v>
      </c>
    </row>
    <row r="136" spans="2:2" x14ac:dyDescent="0.3">
      <c r="B136" s="10">
        <v>42571</v>
      </c>
    </row>
    <row r="137" spans="2:2" x14ac:dyDescent="0.3">
      <c r="B137" s="10">
        <v>42572</v>
      </c>
    </row>
    <row r="138" spans="2:2" x14ac:dyDescent="0.3">
      <c r="B138" s="10">
        <v>42573</v>
      </c>
    </row>
    <row r="139" spans="2:2" x14ac:dyDescent="0.3">
      <c r="B139" s="10">
        <v>42576</v>
      </c>
    </row>
    <row r="140" spans="2:2" x14ac:dyDescent="0.3">
      <c r="B140" s="10">
        <v>42577</v>
      </c>
    </row>
    <row r="141" spans="2:2" x14ac:dyDescent="0.3">
      <c r="B141" s="10">
        <v>42578</v>
      </c>
    </row>
    <row r="142" spans="2:2" x14ac:dyDescent="0.3">
      <c r="B142" s="10">
        <v>42579</v>
      </c>
    </row>
    <row r="143" spans="2:2" x14ac:dyDescent="0.3">
      <c r="B143" s="10">
        <v>42580</v>
      </c>
    </row>
    <row r="144" spans="2:2" x14ac:dyDescent="0.3">
      <c r="B144" s="10">
        <v>42583</v>
      </c>
    </row>
    <row r="145" spans="2:2" x14ac:dyDescent="0.3">
      <c r="B145" s="10">
        <v>42584</v>
      </c>
    </row>
    <row r="146" spans="2:2" x14ac:dyDescent="0.3">
      <c r="B146" s="10">
        <v>42585</v>
      </c>
    </row>
    <row r="147" spans="2:2" x14ac:dyDescent="0.3">
      <c r="B147" s="10">
        <v>42586</v>
      </c>
    </row>
    <row r="148" spans="2:2" x14ac:dyDescent="0.3">
      <c r="B148" s="10">
        <v>42587</v>
      </c>
    </row>
    <row r="149" spans="2:2" x14ac:dyDescent="0.3">
      <c r="B149" s="10">
        <v>42590</v>
      </c>
    </row>
    <row r="150" spans="2:2" x14ac:dyDescent="0.3">
      <c r="B150" s="10">
        <v>42591</v>
      </c>
    </row>
    <row r="151" spans="2:2" x14ac:dyDescent="0.3">
      <c r="B151" s="10">
        <v>42592</v>
      </c>
    </row>
    <row r="152" spans="2:2" x14ac:dyDescent="0.3">
      <c r="B152" s="10">
        <v>42593</v>
      </c>
    </row>
    <row r="153" spans="2:2" x14ac:dyDescent="0.3">
      <c r="B153" s="10">
        <v>42594</v>
      </c>
    </row>
    <row r="154" spans="2:2" x14ac:dyDescent="0.3">
      <c r="B154" s="10">
        <v>42597</v>
      </c>
    </row>
    <row r="155" spans="2:2" x14ac:dyDescent="0.3">
      <c r="B155" s="10">
        <v>42598</v>
      </c>
    </row>
    <row r="156" spans="2:2" x14ac:dyDescent="0.3">
      <c r="B156" s="10">
        <v>42599</v>
      </c>
    </row>
    <row r="157" spans="2:2" x14ac:dyDescent="0.3">
      <c r="B157" s="10">
        <v>42600</v>
      </c>
    </row>
    <row r="158" spans="2:2" x14ac:dyDescent="0.3">
      <c r="B158" s="10">
        <v>42601</v>
      </c>
    </row>
    <row r="159" spans="2:2" x14ac:dyDescent="0.3">
      <c r="B159" s="10">
        <v>42604</v>
      </c>
    </row>
    <row r="160" spans="2:2" x14ac:dyDescent="0.3">
      <c r="B160" s="10">
        <v>42605</v>
      </c>
    </row>
    <row r="161" spans="2:2" x14ac:dyDescent="0.3">
      <c r="B161" s="10">
        <v>42606</v>
      </c>
    </row>
    <row r="162" spans="2:2" x14ac:dyDescent="0.3">
      <c r="B162" s="10">
        <v>42607</v>
      </c>
    </row>
    <row r="163" spans="2:2" x14ac:dyDescent="0.3">
      <c r="B163" s="10">
        <v>42608</v>
      </c>
    </row>
    <row r="164" spans="2:2" x14ac:dyDescent="0.3">
      <c r="B164" s="10">
        <v>42611</v>
      </c>
    </row>
    <row r="165" spans="2:2" x14ac:dyDescent="0.3">
      <c r="B165" s="10">
        <v>42612</v>
      </c>
    </row>
    <row r="166" spans="2:2" x14ac:dyDescent="0.3">
      <c r="B166" s="10">
        <v>42613</v>
      </c>
    </row>
    <row r="167" spans="2:2" x14ac:dyDescent="0.3">
      <c r="B167" s="10">
        <v>42614</v>
      </c>
    </row>
    <row r="168" spans="2:2" x14ac:dyDescent="0.3">
      <c r="B168" s="10">
        <v>42615</v>
      </c>
    </row>
    <row r="169" spans="2:2" x14ac:dyDescent="0.3">
      <c r="B169" s="10">
        <v>42618</v>
      </c>
    </row>
    <row r="170" spans="2:2" x14ac:dyDescent="0.3">
      <c r="B170" s="10">
        <v>42619</v>
      </c>
    </row>
    <row r="171" spans="2:2" x14ac:dyDescent="0.3">
      <c r="B171" s="10">
        <v>42620</v>
      </c>
    </row>
    <row r="172" spans="2:2" x14ac:dyDescent="0.3">
      <c r="B172" s="10">
        <v>42621</v>
      </c>
    </row>
    <row r="173" spans="2:2" x14ac:dyDescent="0.3">
      <c r="B173" s="10">
        <v>42622</v>
      </c>
    </row>
    <row r="174" spans="2:2" x14ac:dyDescent="0.3">
      <c r="B174" s="10">
        <v>42625</v>
      </c>
    </row>
    <row r="175" spans="2:2" x14ac:dyDescent="0.3">
      <c r="B175" s="10">
        <v>42626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Scroll Bar 2">
              <controlPr defaultSize="0" autoPict="0">
                <anchor moveWithCells="1">
                  <from>
                    <xdr:col>1</xdr:col>
                    <xdr:colOff>9525</xdr:colOff>
                    <xdr:row>1</xdr:row>
                    <xdr:rowOff>19050</xdr:rowOff>
                  </from>
                  <to>
                    <xdr:col>1</xdr:col>
                    <xdr:colOff>942975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自动拒绝（城信）</vt:lpstr>
      <vt:lpstr>互联网-宜人</vt:lpstr>
      <vt:lpstr>互联网-瞬时贷</vt:lpstr>
      <vt:lpstr>企合</vt:lpstr>
      <vt:lpstr>门店R</vt:lpstr>
      <vt:lpstr>日期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2016-09-13T01:39:39Z</dcterms:modified>
</cp:coreProperties>
</file>